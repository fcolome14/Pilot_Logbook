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UARIO\Documents\PROYECTOS EXCEL\"/>
    </mc:Choice>
  </mc:AlternateContent>
  <xr:revisionPtr revIDLastSave="0" documentId="13_ncr:1_{11DE3827-39A2-4107-8835-43D75EF2BA40}" xr6:coauthVersionLast="47" xr6:coauthVersionMax="47" xr10:uidLastSave="{00000000-0000-0000-0000-000000000000}"/>
  <bookViews>
    <workbookView xWindow="-108" yWindow="-108" windowWidth="23256" windowHeight="12456" xr2:uid="{74CEBE1D-21BB-4384-9899-17C80D84A0F9}"/>
  </bookViews>
  <sheets>
    <sheet name="Register" sheetId="1" r:id="rId1"/>
    <sheet name="Logbook" sheetId="6" r:id="rId2"/>
    <sheet name="Statistics" sheetId="7" r:id="rId3"/>
    <sheet name="Data" sheetId="5" state="hidden" r:id="rId4"/>
    <sheet name="DB" sheetId="8" state="hidden" r:id="rId5"/>
  </sheet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" i="5" l="1"/>
  <c r="D1" i="5"/>
  <c r="K1" i="5"/>
  <c r="C1" i="5"/>
  <c r="K2" i="5"/>
  <c r="C2" i="5"/>
  <c r="K3" i="5"/>
  <c r="C3" i="5"/>
  <c r="K4" i="5"/>
  <c r="C4" i="5"/>
  <c r="N3" i="5"/>
  <c r="N2" i="5"/>
  <c r="N1" i="5"/>
  <c r="H1" i="5"/>
  <c r="J1" i="5"/>
  <c r="F1" i="5"/>
  <c r="V1" i="5"/>
  <c r="X1" i="5"/>
  <c r="R1" i="5"/>
</calcChain>
</file>

<file path=xl/sharedStrings.xml><?xml version="1.0" encoding="utf-8"?>
<sst xmlns="http://schemas.openxmlformats.org/spreadsheetml/2006/main" count="328" uniqueCount="215">
  <si>
    <t>Date</t>
  </si>
  <si>
    <t>Departure</t>
  </si>
  <si>
    <t>Arrival</t>
  </si>
  <si>
    <t>Aircraft</t>
  </si>
  <si>
    <t>Single pilot</t>
  </si>
  <si>
    <t>Fab. Mod. Var</t>
  </si>
  <si>
    <t>Place</t>
  </si>
  <si>
    <t>Time</t>
  </si>
  <si>
    <t>Reg.</t>
  </si>
  <si>
    <t>Multipilot time</t>
  </si>
  <si>
    <t>Total time of flight</t>
  </si>
  <si>
    <t>Name PIC</t>
  </si>
  <si>
    <t>Landings</t>
  </si>
  <si>
    <t>Day</t>
  </si>
  <si>
    <t>Night</t>
  </si>
  <si>
    <t>Operational condition time</t>
  </si>
  <si>
    <t>IFR</t>
  </si>
  <si>
    <t>Pilot-in command</t>
  </si>
  <si>
    <t>Co-pilot</t>
  </si>
  <si>
    <t>Dual</t>
  </si>
  <si>
    <t>Instructor</t>
  </si>
  <si>
    <t>Pilot function time</t>
  </si>
  <si>
    <t>Type</t>
  </si>
  <si>
    <t>Total time of session</t>
  </si>
  <si>
    <t>Synthetic Training Devices Session</t>
  </si>
  <si>
    <t>Remarks</t>
  </si>
  <si>
    <t>Flight Type</t>
  </si>
  <si>
    <t>SE</t>
  </si>
  <si>
    <t>ME</t>
  </si>
  <si>
    <t>Place2</t>
  </si>
  <si>
    <t>Time3</t>
  </si>
  <si>
    <t>Night4</t>
  </si>
  <si>
    <t>Date2</t>
  </si>
  <si>
    <t>Select an option</t>
  </si>
  <si>
    <t>FLIGHT REGISTER</t>
  </si>
  <si>
    <t>AOC</t>
  </si>
  <si>
    <t>SPO</t>
  </si>
  <si>
    <t>LCI</t>
  </si>
  <si>
    <t>ATO</t>
  </si>
  <si>
    <t>ER/VC</t>
  </si>
  <si>
    <t>SELF</t>
  </si>
  <si>
    <t>h</t>
  </si>
  <si>
    <t>Pilot Function</t>
  </si>
  <si>
    <t>Pilot function time:</t>
  </si>
  <si>
    <t>Flight Type:</t>
  </si>
  <si>
    <t>Operational condition:</t>
  </si>
  <si>
    <t>Operational cond</t>
  </si>
  <si>
    <t>Range options</t>
  </si>
  <si>
    <t>Last week</t>
  </si>
  <si>
    <t>Last month</t>
  </si>
  <si>
    <t>Last year</t>
  </si>
  <si>
    <t>Total Flight Time from:</t>
  </si>
  <si>
    <t>Set Initial date:</t>
  </si>
  <si>
    <t>Set Final date:</t>
  </si>
  <si>
    <t>R22</t>
  </si>
  <si>
    <t>R44</t>
  </si>
  <si>
    <t>R66</t>
  </si>
  <si>
    <t>Models</t>
  </si>
  <si>
    <t>B505</t>
  </si>
  <si>
    <t xml:space="preserve">Aircraft: </t>
  </si>
  <si>
    <t>Single pilot:</t>
  </si>
  <si>
    <t xml:space="preserve">Operational cond.: </t>
  </si>
  <si>
    <t xml:space="preserve">Pilot Function time: </t>
  </si>
  <si>
    <t xml:space="preserve">Sim time: </t>
  </si>
  <si>
    <t>PIC</t>
  </si>
  <si>
    <t>B206 JR</t>
  </si>
  <si>
    <t>B206 LR</t>
  </si>
  <si>
    <t>A109-A</t>
  </si>
  <si>
    <t>AS350-B</t>
  </si>
  <si>
    <t>AS350-B3</t>
  </si>
  <si>
    <t>EC-130</t>
  </si>
  <si>
    <t>A109 Power</t>
  </si>
  <si>
    <t xml:space="preserve">Flight hours: </t>
  </si>
  <si>
    <t xml:space="preserve">Total Flight Time: </t>
  </si>
  <si>
    <t xml:space="preserve">Total Sim Time: </t>
  </si>
  <si>
    <t>SELECT A DATE RANGE</t>
  </si>
  <si>
    <t>AS355-F2</t>
  </si>
  <si>
    <t>AS355-N/P</t>
  </si>
  <si>
    <t>Developed by F.Colomé</t>
  </si>
  <si>
    <t>EC-JDF</t>
  </si>
  <si>
    <t>LETA</t>
  </si>
  <si>
    <t>LELL</t>
  </si>
  <si>
    <t>REC-HTQ</t>
  </si>
  <si>
    <t>EC-HTQ</t>
  </si>
  <si>
    <t>ICAO AIRPORTS</t>
  </si>
  <si>
    <t>COMPANY FLEET REGISTER</t>
  </si>
  <si>
    <t>Aircraft Type</t>
  </si>
  <si>
    <t>Registration</t>
  </si>
  <si>
    <t>Location</t>
  </si>
  <si>
    <t>Code</t>
  </si>
  <si>
    <t>AS350B</t>
  </si>
  <si>
    <t>EC-JAQ</t>
  </si>
  <si>
    <t>EC-DXN</t>
  </si>
  <si>
    <t>EC-MSF</t>
  </si>
  <si>
    <t>A Coruña</t>
  </si>
  <si>
    <t>LECO</t>
  </si>
  <si>
    <t>Algeciras</t>
  </si>
  <si>
    <t>LEAG</t>
  </si>
  <si>
    <t>Albacete</t>
  </si>
  <si>
    <t>LEAB</t>
  </si>
  <si>
    <t>Alicante</t>
  </si>
  <si>
    <t>Valencia</t>
  </si>
  <si>
    <t>LEAL</t>
  </si>
  <si>
    <t>Almería</t>
  </si>
  <si>
    <t>LEAM</t>
  </si>
  <si>
    <t>Asturias</t>
  </si>
  <si>
    <t>LEAS</t>
  </si>
  <si>
    <t>Badajoz</t>
  </si>
  <si>
    <t>LEBZ</t>
  </si>
  <si>
    <t>LEBL</t>
  </si>
  <si>
    <t>LEBB</t>
  </si>
  <si>
    <t>Burgos</t>
  </si>
  <si>
    <t>LEBG</t>
  </si>
  <si>
    <t>Córdoba</t>
  </si>
  <si>
    <t>LEBA</t>
  </si>
  <si>
    <t>Castellón</t>
  </si>
  <si>
    <t>LECH</t>
  </si>
  <si>
    <t>Girona</t>
  </si>
  <si>
    <t>LEGE</t>
  </si>
  <si>
    <t>LEGR</t>
  </si>
  <si>
    <t>Huesca</t>
  </si>
  <si>
    <t>LEHC</t>
  </si>
  <si>
    <t>LEJR</t>
  </si>
  <si>
    <t>LESU</t>
  </si>
  <si>
    <t>León</t>
  </si>
  <si>
    <t>LELN</t>
  </si>
  <si>
    <t>Lleida</t>
  </si>
  <si>
    <t>LEDA</t>
  </si>
  <si>
    <t>Logroño</t>
  </si>
  <si>
    <t>LELO</t>
  </si>
  <si>
    <t>Madrid</t>
  </si>
  <si>
    <t>LEMD</t>
  </si>
  <si>
    <t>LECU</t>
  </si>
  <si>
    <t>LETO</t>
  </si>
  <si>
    <t>Málaga</t>
  </si>
  <si>
    <t>LEMG</t>
  </si>
  <si>
    <t>Pamplona</t>
  </si>
  <si>
    <t>LEPP</t>
  </si>
  <si>
    <t>Region of Murcia</t>
  </si>
  <si>
    <t>LEMI</t>
  </si>
  <si>
    <t>LERS</t>
  </si>
  <si>
    <t>Sabadell</t>
  </si>
  <si>
    <t>Salamanca</t>
  </si>
  <si>
    <t>LESA</t>
  </si>
  <si>
    <t>LESO</t>
  </si>
  <si>
    <t>Santander</t>
  </si>
  <si>
    <t>LEXJ</t>
  </si>
  <si>
    <t>Santiago de Compostela</t>
  </si>
  <si>
    <t>LEST</t>
  </si>
  <si>
    <t>Seville (Sevilla)</t>
  </si>
  <si>
    <t>LEZL</t>
  </si>
  <si>
    <t>Teruel</t>
  </si>
  <si>
    <t>LETL</t>
  </si>
  <si>
    <t>LEVC</t>
  </si>
  <si>
    <t>LEVD</t>
  </si>
  <si>
    <t>Vigo</t>
  </si>
  <si>
    <t>LEVX</t>
  </si>
  <si>
    <t>LEVT</t>
  </si>
  <si>
    <t>Zaragoza</t>
  </si>
  <si>
    <t>LEZG</t>
  </si>
  <si>
    <t>Alcantarilla</t>
  </si>
  <si>
    <t>LERI</t>
  </si>
  <si>
    <t>LEEC</t>
  </si>
  <si>
    <t>Granada</t>
  </si>
  <si>
    <t>LEGA</t>
  </si>
  <si>
    <t>LEGT</t>
  </si>
  <si>
    <t>LEMO</t>
  </si>
  <si>
    <t>LELC</t>
  </si>
  <si>
    <t>Rota</t>
  </si>
  <si>
    <t>LERT</t>
  </si>
  <si>
    <t>Barcelona (El Prat)</t>
  </si>
  <si>
    <t>Bilbao, Biscay</t>
  </si>
  <si>
    <t>Granada / Jaén</t>
  </si>
  <si>
    <t>Jerez de la Frontera, Cádiz</t>
  </si>
  <si>
    <t>La Seu d'Urgell / Andorra</t>
  </si>
  <si>
    <t>Reus, Tarragona</t>
  </si>
  <si>
    <t>San Sebastián, Gipuzkoa</t>
  </si>
  <si>
    <t>Valladolid / Villanubla</t>
  </si>
  <si>
    <t>Vitoria-Gasteiz / Foronda</t>
  </si>
  <si>
    <t>Dos Hermanas / Seville</t>
  </si>
  <si>
    <t>Morón de la Frontera / Seville</t>
  </si>
  <si>
    <t>Murcia / San Javier</t>
  </si>
  <si>
    <t>Circuit Barcelona-Catalunya</t>
  </si>
  <si>
    <t>Ibiza</t>
  </si>
  <si>
    <t>LEIB</t>
  </si>
  <si>
    <t>Majorca</t>
  </si>
  <si>
    <t>LEPA</t>
  </si>
  <si>
    <t>LEPO</t>
  </si>
  <si>
    <t>LESB</t>
  </si>
  <si>
    <t>Menorca</t>
  </si>
  <si>
    <t>LEMH</t>
  </si>
  <si>
    <t>LESL</t>
  </si>
  <si>
    <t>El Hierro</t>
  </si>
  <si>
    <t>GCHI</t>
  </si>
  <si>
    <t>Fuerteventura</t>
  </si>
  <si>
    <t>GCFV</t>
  </si>
  <si>
    <t>Gran Canaria</t>
  </si>
  <si>
    <t>GCLP</t>
  </si>
  <si>
    <t>GCLB</t>
  </si>
  <si>
    <t>La Gomera</t>
  </si>
  <si>
    <t>GCGM</t>
  </si>
  <si>
    <t>La Palma</t>
  </si>
  <si>
    <t>GCLA</t>
  </si>
  <si>
    <t>Lanzarote</t>
  </si>
  <si>
    <t>GCRR</t>
  </si>
  <si>
    <t>Tenerife</t>
  </si>
  <si>
    <t>GCXO</t>
  </si>
  <si>
    <t>GCTS</t>
  </si>
  <si>
    <t>GCGO</t>
  </si>
  <si>
    <t>GCHU</t>
  </si>
  <si>
    <t>Ceuta</t>
  </si>
  <si>
    <t>GECE</t>
  </si>
  <si>
    <t>Melilla</t>
  </si>
  <si>
    <t>GEML</t>
  </si>
  <si>
    <t>TOTAL HOURS FROM TODAY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</si>
</sst>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400]h:mm:ss\ AM/PM"/>
    <numFmt numFmtId="165" formatCode="h:mm;@"/>
    <numFmt numFmtId="166" formatCode="[h]:mm"/>
    <numFmt numFmtId="167" formatCode="m/d/yyyy"/>
  </numFmts>
  <fonts count="1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i/>
      <sz val="11"/>
      <color theme="0" tint="-0.34998626667073579"/>
      <name val="Calibri"/>
      <family val="2"/>
      <scheme val="minor"/>
    </font>
    <font>
      <sz val="48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i/>
      <sz val="11"/>
      <color theme="1" tint="0.34998626667073579"/>
      <name val="Calibri"/>
      <family val="2"/>
      <scheme val="minor"/>
    </font>
    <font>
      <i/>
      <sz val="11"/>
      <color theme="0" tint="-0.249977111117893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34">
    <border>
      <left/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/>
      <right/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theme="0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theme="0"/>
      </right>
      <top style="medium">
        <color theme="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9">
    <xf numFmtId="0" fontId="0" fillId="0" borderId="0" xfId="0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/>
    <xf numFmtId="0" fontId="0" fillId="0" borderId="1" xfId="0" applyBorder="1" applyAlignment="1">
      <alignment horizontal="center" vertical="center"/>
    </xf>
    <xf numFmtId="0" fontId="4" fillId="0" borderId="0" xfId="0" applyFont="1"/>
    <xf numFmtId="0" fontId="6" fillId="5" borderId="6" xfId="0" applyFont="1" applyFill="1" applyBorder="1" applyAlignment="1">
      <alignment horizontal="center" vertical="center"/>
    </xf>
    <xf numFmtId="0" fontId="6" fillId="5" borderId="10" xfId="0" applyFont="1" applyFill="1" applyBorder="1" applyAlignment="1">
      <alignment horizontal="center" vertical="center"/>
    </xf>
    <xf numFmtId="0" fontId="6" fillId="5" borderId="7" xfId="0" applyFont="1" applyFill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2" fontId="0" fillId="0" borderId="0" xfId="0" applyNumberFormat="1"/>
    <xf numFmtId="166" fontId="0" fillId="0" borderId="0" xfId="0" applyNumberFormat="1"/>
    <xf numFmtId="20" fontId="0" fillId="0" borderId="0" xfId="0" applyNumberFormat="1"/>
    <xf numFmtId="165" fontId="2" fillId="0" borderId="0" xfId="0" applyNumberFormat="1" applyFont="1"/>
    <xf numFmtId="20" fontId="0" fillId="0" borderId="0" xfId="0" applyNumberFormat="1" applyAlignment="1">
      <alignment horizontal="center" vertical="center"/>
    </xf>
    <xf numFmtId="14" fontId="0" fillId="0" borderId="0" xfId="0" applyNumberFormat="1"/>
    <xf numFmtId="166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4" borderId="29" xfId="0" applyFill="1" applyBorder="1"/>
    <xf numFmtId="0" fontId="0" fillId="8" borderId="29" xfId="0" applyFill="1" applyBorder="1"/>
    <xf numFmtId="0" fontId="2" fillId="8" borderId="29" xfId="0" applyFont="1" applyFill="1" applyBorder="1"/>
    <xf numFmtId="0" fontId="0" fillId="4" borderId="20" xfId="0" applyFill="1" applyBorder="1"/>
    <xf numFmtId="0" fontId="7" fillId="4" borderId="21" xfId="0" applyFont="1" applyFill="1" applyBorder="1"/>
    <xf numFmtId="0" fontId="0" fillId="4" borderId="21" xfId="0" applyFill="1" applyBorder="1"/>
    <xf numFmtId="0" fontId="0" fillId="4" borderId="22" xfId="0" applyFill="1" applyBorder="1"/>
    <xf numFmtId="0" fontId="0" fillId="4" borderId="23" xfId="0" applyFill="1" applyBorder="1"/>
    <xf numFmtId="0" fontId="0" fillId="4" borderId="0" xfId="0" applyFill="1"/>
    <xf numFmtId="0" fontId="0" fillId="4" borderId="25" xfId="0" applyFill="1" applyBorder="1"/>
    <xf numFmtId="164" fontId="0" fillId="4" borderId="26" xfId="0" applyNumberFormat="1" applyFill="1" applyBorder="1"/>
    <xf numFmtId="0" fontId="0" fillId="4" borderId="24" xfId="0" applyFill="1" applyBorder="1"/>
    <xf numFmtId="0" fontId="0" fillId="4" borderId="27" xfId="0" applyFill="1" applyBorder="1"/>
    <xf numFmtId="0" fontId="0" fillId="4" borderId="26" xfId="0" applyFill="1" applyBorder="1"/>
    <xf numFmtId="166" fontId="0" fillId="8" borderId="29" xfId="0" applyNumberFormat="1" applyFill="1" applyBorder="1" applyAlignment="1">
      <alignment vertical="top"/>
    </xf>
    <xf numFmtId="166" fontId="0" fillId="9" borderId="29" xfId="0" applyNumberFormat="1" applyFill="1" applyBorder="1" applyAlignment="1">
      <alignment vertical="top"/>
    </xf>
    <xf numFmtId="0" fontId="8" fillId="4" borderId="0" xfId="0" applyFont="1" applyFill="1"/>
    <xf numFmtId="0" fontId="8" fillId="4" borderId="24" xfId="0" applyFont="1" applyFill="1" applyBorder="1"/>
    <xf numFmtId="0" fontId="2" fillId="4" borderId="0" xfId="0" applyFont="1" applyFill="1" applyAlignment="1">
      <alignment horizontal="right"/>
    </xf>
    <xf numFmtId="0" fontId="0" fillId="7" borderId="14" xfId="0" applyFill="1" applyBorder="1"/>
    <xf numFmtId="0" fontId="2" fillId="4" borderId="32" xfId="0" applyFont="1" applyFill="1" applyBorder="1" applyAlignment="1">
      <alignment horizontal="right"/>
    </xf>
    <xf numFmtId="0" fontId="11" fillId="0" borderId="0" xfId="0" applyFont="1" applyAlignment="1">
      <alignment horizontal="center"/>
    </xf>
    <xf numFmtId="14" fontId="0" fillId="0" borderId="12" xfId="0" applyNumberFormat="1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165" fontId="0" fillId="0" borderId="12" xfId="0" applyNumberFormat="1" applyBorder="1" applyAlignment="1" applyProtection="1">
      <alignment horizontal="center" vertical="center"/>
      <protection locked="0"/>
    </xf>
    <xf numFmtId="165" fontId="0" fillId="7" borderId="12" xfId="0" applyNumberFormat="1" applyFill="1" applyBorder="1" applyAlignment="1" applyProtection="1">
      <alignment horizontal="center" vertical="center"/>
      <protection locked="0"/>
    </xf>
    <xf numFmtId="14" fontId="0" fillId="7" borderId="12" xfId="0" applyNumberFormat="1" applyFill="1" applyBorder="1" applyAlignment="1" applyProtection="1">
      <alignment horizontal="center" vertical="center"/>
      <protection locked="0"/>
    </xf>
    <xf numFmtId="14" fontId="1" fillId="9" borderId="33" xfId="0" applyNumberFormat="1" applyFont="1" applyFill="1" applyBorder="1" applyAlignment="1" applyProtection="1">
      <alignment horizontal="center" vertical="center"/>
      <protection locked="0"/>
    </xf>
    <xf numFmtId="14" fontId="1" fillId="9" borderId="31" xfId="0" applyNumberFormat="1" applyFont="1" applyFill="1" applyBorder="1" applyAlignment="1" applyProtection="1">
      <alignment horizontal="center" vertical="center"/>
      <protection locked="0"/>
    </xf>
    <xf numFmtId="0" fontId="10" fillId="4" borderId="12" xfId="0" applyFont="1" applyFill="1" applyBorder="1" applyAlignment="1" applyProtection="1">
      <alignment horizontal="center" vertical="center"/>
      <protection locked="0"/>
    </xf>
    <xf numFmtId="0" fontId="10" fillId="7" borderId="15" xfId="0" applyFont="1" applyFill="1" applyBorder="1" applyAlignment="1" applyProtection="1">
      <alignment horizontal="center" vertical="center"/>
      <protection locked="0"/>
    </xf>
    <xf numFmtId="0" fontId="0" fillId="0" borderId="14" xfId="0" applyBorder="1"/>
    <xf numFmtId="0" fontId="0" fillId="0" borderId="15" xfId="0" applyBorder="1"/>
    <xf numFmtId="20" fontId="0" fillId="0" borderId="12" xfId="0" applyNumberFormat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166" fontId="0" fillId="4" borderId="30" xfId="0" applyNumberFormat="1" applyFill="1" applyBorder="1" applyAlignment="1" applyProtection="1">
      <alignment horizontal="center" vertical="center"/>
      <protection locked="0"/>
    </xf>
    <xf numFmtId="166" fontId="0" fillId="8" borderId="28" xfId="0" applyNumberFormat="1" applyFill="1" applyBorder="1" applyAlignment="1" applyProtection="1">
      <alignment horizontal="center" vertical="center"/>
      <protection locked="0"/>
    </xf>
    <xf numFmtId="166" fontId="0" fillId="9" borderId="28" xfId="0" applyNumberFormat="1" applyFill="1" applyBorder="1" applyAlignment="1" applyProtection="1">
      <alignment horizontal="center" vertical="center"/>
      <protection locked="0"/>
    </xf>
    <xf numFmtId="166" fontId="0" fillId="8" borderId="30" xfId="0" applyNumberFormat="1" applyFill="1" applyBorder="1" applyAlignment="1" applyProtection="1">
      <alignment horizontal="center" vertical="center"/>
      <protection locked="0"/>
    </xf>
    <xf numFmtId="166" fontId="0" fillId="9" borderId="30" xfId="0" applyNumberFormat="1" applyFill="1" applyBorder="1" applyAlignment="1" applyProtection="1">
      <alignment horizontal="center" vertical="center"/>
      <protection locked="0"/>
    </xf>
    <xf numFmtId="166" fontId="2" fillId="8" borderId="28" xfId="0" applyNumberFormat="1" applyFont="1" applyFill="1" applyBorder="1" applyAlignment="1" applyProtection="1">
      <alignment horizontal="center" vertical="center"/>
      <protection locked="0"/>
    </xf>
    <xf numFmtId="0" fontId="0" fillId="3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165" fontId="0" fillId="7" borderId="14" xfId="0" applyNumberFormat="1" applyFill="1" applyBorder="1" applyAlignment="1" applyProtection="1">
      <alignment horizontal="center" vertical="center"/>
      <protection locked="0"/>
    </xf>
    <xf numFmtId="165" fontId="0" fillId="7" borderId="16" xfId="0" applyNumberFormat="1" applyFill="1" applyBorder="1" applyAlignment="1" applyProtection="1">
      <alignment horizontal="center" vertical="center"/>
      <protection locked="0"/>
    </xf>
    <xf numFmtId="165" fontId="0" fillId="7" borderId="15" xfId="0" applyNumberFormat="1" applyFill="1" applyBorder="1" applyAlignment="1" applyProtection="1">
      <alignment horizontal="center" vertical="center"/>
      <protection locked="0"/>
    </xf>
    <xf numFmtId="0" fontId="0" fillId="5" borderId="17" xfId="0" applyFill="1" applyBorder="1" applyAlignment="1" applyProtection="1">
      <alignment horizontal="center" vertical="center"/>
      <protection locked="0"/>
    </xf>
    <xf numFmtId="0" fontId="0" fillId="5" borderId="18" xfId="0" applyFill="1" applyBorder="1" applyAlignment="1" applyProtection="1">
      <alignment horizontal="center" vertical="center"/>
      <protection locked="0"/>
    </xf>
    <xf numFmtId="0" fontId="0" fillId="5" borderId="19" xfId="0" applyFill="1" applyBorder="1" applyAlignment="1" applyProtection="1">
      <alignment horizontal="center" vertical="center"/>
      <protection locked="0"/>
    </xf>
    <xf numFmtId="0" fontId="0" fillId="3" borderId="0" xfId="0" applyFill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0" fontId="0" fillId="6" borderId="0" xfId="0" applyFill="1" applyAlignment="1">
      <alignment horizontal="center"/>
    </xf>
    <xf numFmtId="0" fontId="1" fillId="2" borderId="2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9" fillId="4" borderId="21" xfId="0" applyFont="1" applyFill="1" applyBorder="1" applyAlignment="1">
      <alignment horizontal="center" vertical="center"/>
    </xf>
    <xf numFmtId="0" fontId="9" fillId="4" borderId="22" xfId="0" applyFont="1" applyFill="1" applyBorder="1" applyAlignment="1">
      <alignment horizontal="center" vertical="center"/>
    </xf>
    <xf numFmtId="0" fontId="2" fillId="4" borderId="23" xfId="0" applyFont="1" applyFill="1" applyBorder="1" applyAlignment="1">
      <alignment horizontal="right"/>
    </xf>
    <xf numFmtId="0" fontId="2" fillId="4" borderId="0" xfId="0" applyFont="1" applyFill="1" applyAlignment="1">
      <alignment horizontal="right"/>
    </xf>
    <xf numFmtId="0" fontId="2" fillId="0" borderId="26" xfId="0" applyFont="1" applyBorder="1" applyAlignment="1">
      <alignment horizontal="center"/>
    </xf>
    <xf numFmtId="0" fontId="2" fillId="0" borderId="0" xfId="0" applyFont="1" applyAlignment="1">
      <alignment horizontal="center" vertical="center"/>
    </xf>
  </cellXfs>
  <cellStyles count="1">
    <cellStyle name="Normal" xfId="0" builtinId="0"/>
  </cellStyles>
  <dxfs count="12">
    <dxf>
      <numFmt numFmtId="165" formatCode="h:mm;@"/>
    </dxf>
    <dxf>
      <numFmt numFmtId="167" formatCode="m/d/yyyy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  <alignment horizontal="center" vertical="center" textRotation="0" wrapText="0" indent="0" justifyLastLine="0" shrinkToFit="0" readingOrder="0"/>
    </dxf>
    <dxf>
      <numFmt numFmtId="165" formatCode="h:mm;@"/>
      <alignment horizontal="center" vertical="center" textRotation="0" wrapText="0" indent="0" justifyLastLine="0" shrinkToFit="0" readingOrder="0"/>
    </dxf>
    <dxf>
      <numFmt numFmtId="165" formatCode="h:mm;@"/>
      <alignment horizontal="center" vertical="center" textRotation="0" wrapText="0" indent="0" justifyLastLine="0" shrinkToFit="0" readingOrder="0"/>
    </dxf>
    <dxf>
      <numFmt numFmtId="165" formatCode="h:mm;@"/>
    </dxf>
    <dxf>
      <numFmt numFmtId="167" formatCode="m/d/yyyy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svg"/><Relationship Id="rId1" Type="http://schemas.openxmlformats.org/officeDocument/2006/relationships/image" Target="../media/image7.png"/><Relationship Id="rId6" Type="http://schemas.openxmlformats.org/officeDocument/2006/relationships/image" Target="../media/image12.svg"/><Relationship Id="rId5" Type="http://schemas.openxmlformats.org/officeDocument/2006/relationships/image" Target="../media/image11.png"/><Relationship Id="rId4" Type="http://schemas.openxmlformats.org/officeDocument/2006/relationships/image" Target="../media/image10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svg"/><Relationship Id="rId2" Type="http://schemas.openxmlformats.org/officeDocument/2006/relationships/image" Target="../media/image15.svg"/><Relationship Id="rId1" Type="http://schemas.openxmlformats.org/officeDocument/2006/relationships/image" Target="../media/image1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openxmlformats.org/officeDocument/2006/relationships/image" Target="../media/image15.svg"/><Relationship Id="rId1" Type="http://schemas.openxmlformats.org/officeDocument/2006/relationships/image" Target="../media/image14.png"/><Relationship Id="rId4" Type="http://schemas.openxmlformats.org/officeDocument/2006/relationships/image" Target="../media/image18.sv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403860</xdr:colOff>
          <xdr:row>12</xdr:row>
          <xdr:rowOff>53340</xdr:rowOff>
        </xdr:from>
        <xdr:to>
          <xdr:col>8</xdr:col>
          <xdr:colOff>815340</xdr:colOff>
          <xdr:row>12</xdr:row>
          <xdr:rowOff>388620</xdr:rowOff>
        </xdr:to>
        <xdr:sp macro="" textlink="">
          <xdr:nvSpPr>
            <xdr:cNvPr id="1028" name="SEBttn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274320</xdr:colOff>
          <xdr:row>12</xdr:row>
          <xdr:rowOff>68580</xdr:rowOff>
        </xdr:from>
        <xdr:to>
          <xdr:col>9</xdr:col>
          <xdr:colOff>708660</xdr:colOff>
          <xdr:row>12</xdr:row>
          <xdr:rowOff>388620</xdr:rowOff>
        </xdr:to>
        <xdr:sp macro="" textlink="">
          <xdr:nvSpPr>
            <xdr:cNvPr id="1029" name="MEBtt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891540</xdr:colOff>
      <xdr:row>14</xdr:row>
      <xdr:rowOff>118532</xdr:rowOff>
    </xdr:from>
    <xdr:to>
      <xdr:col>11</xdr:col>
      <xdr:colOff>967740</xdr:colOff>
      <xdr:row>16</xdr:row>
      <xdr:rowOff>499533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pSpPr/>
      </xdr:nvGrpSpPr>
      <xdr:grpSpPr>
        <a:xfrm>
          <a:off x="10094807" y="3174999"/>
          <a:ext cx="1083733" cy="889847"/>
          <a:chOff x="8945880" y="2971800"/>
          <a:chExt cx="998220" cy="922020"/>
        </a:xfrm>
      </xdr:grpSpPr>
      <xdr:sp macro="[0]!_xludf.Register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8945880" y="3058032"/>
            <a:ext cx="998220" cy="835788"/>
          </a:xfrm>
          <a:prstGeom prst="roundRect">
            <a:avLst/>
          </a:prstGeom>
          <a:ln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en-GB" sz="1100"/>
              <a:t>SAVE</a:t>
            </a:r>
          </a:p>
        </xdr:txBody>
      </xdr:sp>
      <xdr:pic macro="[0]!_xludf.Register">
        <xdr:nvPicPr>
          <xdr:cNvPr id="4" name="Graphic 3" descr="Download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9130334" y="2971800"/>
            <a:ext cx="651013" cy="795988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1260686</xdr:colOff>
      <xdr:row>14</xdr:row>
      <xdr:rowOff>152400</xdr:rowOff>
    </xdr:from>
    <xdr:to>
      <xdr:col>13</xdr:col>
      <xdr:colOff>252306</xdr:colOff>
      <xdr:row>17</xdr:row>
      <xdr:rowOff>22014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pSpPr/>
      </xdr:nvGrpSpPr>
      <xdr:grpSpPr>
        <a:xfrm>
          <a:off x="11471486" y="3208867"/>
          <a:ext cx="998220" cy="885614"/>
          <a:chOff x="11369040" y="3074767"/>
          <a:chExt cx="998220" cy="849533"/>
        </a:xfrm>
      </xdr:grpSpPr>
      <xdr:sp macro="[0]!ToLogbook" textlink="">
        <xdr:nvSpPr>
          <xdr:cNvPr id="13" name="Rectangle: Rounded Corners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11369040" y="3088512"/>
            <a:ext cx="998220" cy="835788"/>
          </a:xfrm>
          <a:prstGeom prst="roundRect">
            <a:avLst/>
          </a:prstGeom>
          <a:ln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en-GB" sz="1100"/>
              <a:t>LOGBOOK</a:t>
            </a:r>
          </a:p>
        </xdr:txBody>
      </xdr:sp>
      <xdr:pic macro="[0]!ToLogbook">
        <xdr:nvPicPr>
          <xdr:cNvPr id="14" name="Graphic 13" descr="Open book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553494" y="3074767"/>
            <a:ext cx="651013" cy="651013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15</xdr:row>
          <xdr:rowOff>38100</xdr:rowOff>
        </xdr:from>
        <xdr:to>
          <xdr:col>1</xdr:col>
          <xdr:colOff>1295400</xdr:colOff>
          <xdr:row>15</xdr:row>
          <xdr:rowOff>297180</xdr:rowOff>
        </xdr:to>
        <xdr:sp macro="" textlink="">
          <xdr:nvSpPr>
            <xdr:cNvPr id="1039" name="PICBttn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1379220</xdr:colOff>
          <xdr:row>15</xdr:row>
          <xdr:rowOff>45720</xdr:rowOff>
        </xdr:from>
        <xdr:to>
          <xdr:col>2</xdr:col>
          <xdr:colOff>502920</xdr:colOff>
          <xdr:row>15</xdr:row>
          <xdr:rowOff>274320</xdr:rowOff>
        </xdr:to>
        <xdr:sp macro="" textlink="">
          <xdr:nvSpPr>
            <xdr:cNvPr id="1040" name="CopBttn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601980</xdr:colOff>
          <xdr:row>15</xdr:row>
          <xdr:rowOff>45720</xdr:rowOff>
        </xdr:from>
        <xdr:to>
          <xdr:col>3</xdr:col>
          <xdr:colOff>441960</xdr:colOff>
          <xdr:row>15</xdr:row>
          <xdr:rowOff>304800</xdr:rowOff>
        </xdr:to>
        <xdr:sp macro="" textlink="">
          <xdr:nvSpPr>
            <xdr:cNvPr id="1041" name="DualBttn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548640</xdr:colOff>
          <xdr:row>15</xdr:row>
          <xdr:rowOff>38100</xdr:rowOff>
        </xdr:from>
        <xdr:to>
          <xdr:col>4</xdr:col>
          <xdr:colOff>655320</xdr:colOff>
          <xdr:row>15</xdr:row>
          <xdr:rowOff>297180</xdr:rowOff>
        </xdr:to>
        <xdr:sp macro="" textlink="">
          <xdr:nvSpPr>
            <xdr:cNvPr id="1042" name="InstrBttn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557953</xdr:colOff>
      <xdr:row>14</xdr:row>
      <xdr:rowOff>157758</xdr:rowOff>
    </xdr:from>
    <xdr:to>
      <xdr:col>15</xdr:col>
      <xdr:colOff>336973</xdr:colOff>
      <xdr:row>17</xdr:row>
      <xdr:rowOff>13547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12775353" y="3214225"/>
          <a:ext cx="998220" cy="871789"/>
          <a:chOff x="13757487" y="3222691"/>
          <a:chExt cx="998220" cy="871789"/>
        </a:xfrm>
      </xdr:grpSpPr>
      <xdr:sp macro="[0]!Stats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>
            <a:off x="13757487" y="3223195"/>
            <a:ext cx="998220" cy="871285"/>
          </a:xfrm>
          <a:prstGeom prst="roundRect">
            <a:avLst/>
          </a:prstGeom>
          <a:ln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en-GB" sz="1100"/>
              <a:t>STATISTICS</a:t>
            </a:r>
          </a:p>
        </xdr:txBody>
      </xdr:sp>
      <xdr:pic macro="[0]!Stats">
        <xdr:nvPicPr>
          <xdr:cNvPr id="6" name="Graphic 5" descr="Upward trend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3941941" y="3222691"/>
            <a:ext cx="651013" cy="651013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</xdr:row>
          <xdr:rowOff>99060</xdr:rowOff>
        </xdr:from>
        <xdr:to>
          <xdr:col>10</xdr:col>
          <xdr:colOff>899160</xdr:colOff>
          <xdr:row>2</xdr:row>
          <xdr:rowOff>327660</xdr:rowOff>
        </xdr:to>
        <xdr:sp macro="" textlink="">
          <xdr:nvSpPr>
            <xdr:cNvPr id="2049" name="SearchBox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6</xdr:col>
      <xdr:colOff>541867</xdr:colOff>
      <xdr:row>2</xdr:row>
      <xdr:rowOff>67733</xdr:rowOff>
    </xdr:from>
    <xdr:ext cx="1227667" cy="267947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5113867" y="1007533"/>
          <a:ext cx="1227667" cy="2679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GB" sz="1100"/>
            <a:t>SEARCH</a:t>
          </a:r>
          <a:r>
            <a:rPr lang="en-GB" sz="1100" baseline="0"/>
            <a:t> FLIGHT:</a:t>
          </a:r>
          <a:endParaRPr lang="en-GB" sz="1100"/>
        </a:p>
      </xdr:txBody>
    </xdr:sp>
    <xdr:clientData/>
  </xdr:oneCellAnchor>
  <xdr:twoCellAnchor>
    <xdr:from>
      <xdr:col>10</xdr:col>
      <xdr:colOff>1013460</xdr:colOff>
      <xdr:row>2</xdr:row>
      <xdr:rowOff>0</xdr:rowOff>
    </xdr:from>
    <xdr:to>
      <xdr:col>11</xdr:col>
      <xdr:colOff>708660</xdr:colOff>
      <xdr:row>2</xdr:row>
      <xdr:rowOff>365760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8464127" y="939800"/>
          <a:ext cx="956733" cy="365760"/>
          <a:chOff x="10271760" y="685800"/>
          <a:chExt cx="952500" cy="434340"/>
        </a:xfrm>
      </xdr:grpSpPr>
      <xdr:sp macro="[0]!SearchFlight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/>
        </xdr:nvSpPr>
        <xdr:spPr>
          <a:xfrm>
            <a:off x="10271760" y="685800"/>
            <a:ext cx="952500" cy="434340"/>
          </a:xfrm>
          <a:prstGeom prst="roundRect">
            <a:avLst/>
          </a:prstGeom>
          <a:ln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GB" sz="900"/>
              <a:t>SEARCH</a:t>
            </a:r>
          </a:p>
        </xdr:txBody>
      </xdr:sp>
      <xdr:sp macro="[0]!SearchFlight" textlink="">
        <xdr:nvSpPr>
          <xdr:cNvPr id="8" name="Graphic 6" descr="Magnifying glass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SpPr/>
        </xdr:nvSpPr>
        <xdr:spPr>
          <a:xfrm>
            <a:off x="10379188" y="739140"/>
            <a:ext cx="296432" cy="308108"/>
          </a:xfrm>
          <a:custGeom>
            <a:avLst/>
            <a:gdLst>
              <a:gd name="connsiteX0" fmla="*/ 533505 w 547641"/>
              <a:gd name="connsiteY0" fmla="*/ 469933 h 554100"/>
              <a:gd name="connsiteX1" fmla="*/ 446784 w 547641"/>
              <a:gd name="connsiteY1" fmla="*/ 382259 h 554100"/>
              <a:gd name="connsiteX2" fmla="*/ 403771 w 547641"/>
              <a:gd name="connsiteY2" fmla="*/ 368933 h 554100"/>
              <a:gd name="connsiteX3" fmla="*/ 373245 w 547641"/>
              <a:gd name="connsiteY3" fmla="*/ 338071 h 554100"/>
              <a:gd name="connsiteX4" fmla="*/ 416259 w 547641"/>
              <a:gd name="connsiteY4" fmla="*/ 210418 h 554100"/>
              <a:gd name="connsiteX5" fmla="*/ 208129 w 547641"/>
              <a:gd name="connsiteY5" fmla="*/ 0 h 554100"/>
              <a:gd name="connsiteX6" fmla="*/ 0 w 547641"/>
              <a:gd name="connsiteY6" fmla="*/ 210418 h 554100"/>
              <a:gd name="connsiteX7" fmla="*/ 208129 w 547641"/>
              <a:gd name="connsiteY7" fmla="*/ 420836 h 554100"/>
              <a:gd name="connsiteX8" fmla="*/ 334395 w 547641"/>
              <a:gd name="connsiteY8" fmla="*/ 377349 h 554100"/>
              <a:gd name="connsiteX9" fmla="*/ 364920 w 547641"/>
              <a:gd name="connsiteY9" fmla="*/ 408211 h 554100"/>
              <a:gd name="connsiteX10" fmla="*/ 378102 w 547641"/>
              <a:gd name="connsiteY10" fmla="*/ 451697 h 554100"/>
              <a:gd name="connsiteX11" fmla="*/ 464822 w 547641"/>
              <a:gd name="connsiteY11" fmla="*/ 539371 h 554100"/>
              <a:gd name="connsiteX12" fmla="*/ 499511 w 547641"/>
              <a:gd name="connsiteY12" fmla="*/ 554100 h 554100"/>
              <a:gd name="connsiteX13" fmla="*/ 534199 w 547641"/>
              <a:gd name="connsiteY13" fmla="*/ 539371 h 554100"/>
              <a:gd name="connsiteX14" fmla="*/ 533505 w 547641"/>
              <a:gd name="connsiteY14" fmla="*/ 469933 h 554100"/>
              <a:gd name="connsiteX15" fmla="*/ 207436 w 547641"/>
              <a:gd name="connsiteY15" fmla="*/ 378051 h 554100"/>
              <a:gd name="connsiteX16" fmla="*/ 40932 w 547641"/>
              <a:gd name="connsiteY16" fmla="*/ 209716 h 554100"/>
              <a:gd name="connsiteX17" fmla="*/ 207436 w 547641"/>
              <a:gd name="connsiteY17" fmla="*/ 41382 h 554100"/>
              <a:gd name="connsiteX18" fmla="*/ 373939 w 547641"/>
              <a:gd name="connsiteY18" fmla="*/ 209716 h 554100"/>
              <a:gd name="connsiteX19" fmla="*/ 207436 w 547641"/>
              <a:gd name="connsiteY19" fmla="*/ 378051 h 5541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</a:cxnLst>
            <a:rect l="l" t="t" r="r" b="b"/>
            <a:pathLst>
              <a:path w="547641" h="554100">
                <a:moveTo>
                  <a:pt x="533505" y="469933"/>
                </a:moveTo>
                <a:lnTo>
                  <a:pt x="446784" y="382259"/>
                </a:lnTo>
                <a:cubicBezTo>
                  <a:pt x="434990" y="370335"/>
                  <a:pt x="419034" y="366127"/>
                  <a:pt x="403771" y="368933"/>
                </a:cubicBezTo>
                <a:lnTo>
                  <a:pt x="373245" y="338071"/>
                </a:lnTo>
                <a:cubicBezTo>
                  <a:pt x="400302" y="303002"/>
                  <a:pt x="416259" y="258113"/>
                  <a:pt x="416259" y="210418"/>
                </a:cubicBezTo>
                <a:cubicBezTo>
                  <a:pt x="416259" y="94688"/>
                  <a:pt x="322601" y="0"/>
                  <a:pt x="208129" y="0"/>
                </a:cubicBezTo>
                <a:cubicBezTo>
                  <a:pt x="93658" y="0"/>
                  <a:pt x="0" y="94688"/>
                  <a:pt x="0" y="210418"/>
                </a:cubicBezTo>
                <a:cubicBezTo>
                  <a:pt x="0" y="326148"/>
                  <a:pt x="93658" y="420836"/>
                  <a:pt x="208129" y="420836"/>
                </a:cubicBezTo>
                <a:cubicBezTo>
                  <a:pt x="255305" y="420836"/>
                  <a:pt x="299013" y="404704"/>
                  <a:pt x="334395" y="377349"/>
                </a:cubicBezTo>
                <a:lnTo>
                  <a:pt x="364920" y="408211"/>
                </a:lnTo>
                <a:cubicBezTo>
                  <a:pt x="362145" y="423641"/>
                  <a:pt x="366308" y="439773"/>
                  <a:pt x="378102" y="451697"/>
                </a:cubicBezTo>
                <a:lnTo>
                  <a:pt x="464822" y="539371"/>
                </a:lnTo>
                <a:cubicBezTo>
                  <a:pt x="474535" y="549191"/>
                  <a:pt x="487023" y="554100"/>
                  <a:pt x="499511" y="554100"/>
                </a:cubicBezTo>
                <a:cubicBezTo>
                  <a:pt x="511998" y="554100"/>
                  <a:pt x="524486" y="549191"/>
                  <a:pt x="534199" y="539371"/>
                </a:cubicBezTo>
                <a:cubicBezTo>
                  <a:pt x="552237" y="519732"/>
                  <a:pt x="552237" y="488871"/>
                  <a:pt x="533505" y="469933"/>
                </a:cubicBezTo>
                <a:close/>
                <a:moveTo>
                  <a:pt x="207436" y="378051"/>
                </a:moveTo>
                <a:cubicBezTo>
                  <a:pt x="115859" y="378051"/>
                  <a:pt x="40932" y="302300"/>
                  <a:pt x="40932" y="209716"/>
                </a:cubicBezTo>
                <a:cubicBezTo>
                  <a:pt x="40932" y="117133"/>
                  <a:pt x="115859" y="41382"/>
                  <a:pt x="207436" y="41382"/>
                </a:cubicBezTo>
                <a:cubicBezTo>
                  <a:pt x="299013" y="41382"/>
                  <a:pt x="373939" y="117133"/>
                  <a:pt x="373939" y="209716"/>
                </a:cubicBezTo>
                <a:cubicBezTo>
                  <a:pt x="373939" y="302300"/>
                  <a:pt x="299013" y="378051"/>
                  <a:pt x="207436" y="378051"/>
                </a:cubicBezTo>
                <a:close/>
              </a:path>
            </a:pathLst>
          </a:custGeom>
          <a:solidFill>
            <a:schemeClr val="lt1"/>
          </a:solidFill>
          <a:ln w="6443" cap="flat">
            <a:solidFill>
              <a:srgbClr val="A5A5A5"/>
            </a:solidFill>
            <a:prstDash val="solid"/>
            <a:miter/>
          </a:ln>
        </xdr:spPr>
        <xdr:txBody>
          <a:bodyPr rtlCol="0" anchor="ctr"/>
          <a:lstStyle/>
          <a:p>
            <a:endParaRPr lang="en-GB"/>
          </a:p>
        </xdr:txBody>
      </xdr:sp>
    </xdr:grpSp>
    <xdr:clientData/>
  </xdr:twoCellAnchor>
  <xdr:twoCellAnchor>
    <xdr:from>
      <xdr:col>16</xdr:col>
      <xdr:colOff>114300</xdr:colOff>
      <xdr:row>1</xdr:row>
      <xdr:rowOff>297180</xdr:rowOff>
    </xdr:from>
    <xdr:to>
      <xdr:col>16</xdr:col>
      <xdr:colOff>807720</xdr:colOff>
      <xdr:row>2</xdr:row>
      <xdr:rowOff>411480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pSpPr/>
      </xdr:nvGrpSpPr>
      <xdr:grpSpPr>
        <a:xfrm>
          <a:off x="12619567" y="695113"/>
          <a:ext cx="693420" cy="656167"/>
          <a:chOff x="12397740" y="563880"/>
          <a:chExt cx="693420" cy="655320"/>
        </a:xfrm>
      </xdr:grpSpPr>
      <xdr:sp macro="[0]!Stats" textlink="">
        <xdr:nvSpPr>
          <xdr:cNvPr id="14" name="Rectangle: Rounded Corners 1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/>
        </xdr:nvSpPr>
        <xdr:spPr>
          <a:xfrm>
            <a:off x="12397740" y="571785"/>
            <a:ext cx="693420" cy="647415"/>
          </a:xfrm>
          <a:prstGeom prst="roundRect">
            <a:avLst/>
          </a:prstGeom>
          <a:ln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en-GB" sz="1100"/>
              <a:t>STATS</a:t>
            </a:r>
          </a:p>
        </xdr:txBody>
      </xdr:sp>
      <xdr:pic macro="[0]!Stats">
        <xdr:nvPicPr>
          <xdr:cNvPr id="15" name="Graphic 14" descr="Line arrow Straight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 rot="10800000">
            <a:off x="12525872" y="563880"/>
            <a:ext cx="452231" cy="498801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121920</xdr:colOff>
      <xdr:row>1</xdr:row>
      <xdr:rowOff>327660</xdr:rowOff>
    </xdr:from>
    <xdr:to>
      <xdr:col>16</xdr:col>
      <xdr:colOff>815340</xdr:colOff>
      <xdr:row>2</xdr:row>
      <xdr:rowOff>441960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pSpPr/>
      </xdr:nvGrpSpPr>
      <xdr:grpSpPr>
        <a:xfrm>
          <a:off x="12627187" y="725593"/>
          <a:ext cx="693420" cy="656167"/>
          <a:chOff x="12397740" y="563880"/>
          <a:chExt cx="693420" cy="655320"/>
        </a:xfrm>
      </xdr:grpSpPr>
      <xdr:sp macro="[0]!Stats" textlink="">
        <xdr:nvSpPr>
          <xdr:cNvPr id="18" name="Rectangle: Rounded Corners 17">
            <a:extLst>
              <a:ext uri="{FF2B5EF4-FFF2-40B4-BE49-F238E27FC236}">
                <a16:creationId xmlns:a16="http://schemas.microsoft.com/office/drawing/2014/main" id="{00000000-0008-0000-0100-000012000000}"/>
              </a:ext>
            </a:extLst>
          </xdr:cNvPr>
          <xdr:cNvSpPr/>
        </xdr:nvSpPr>
        <xdr:spPr>
          <a:xfrm>
            <a:off x="12397740" y="571785"/>
            <a:ext cx="693420" cy="647415"/>
          </a:xfrm>
          <a:prstGeom prst="roundRect">
            <a:avLst/>
          </a:prstGeom>
          <a:ln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en-GB" sz="1100"/>
              <a:t>STATS</a:t>
            </a:r>
          </a:p>
        </xdr:txBody>
      </xdr:sp>
      <xdr:pic macro="[0]!Stats">
        <xdr:nvPicPr>
          <xdr:cNvPr id="19" name="Graphic 18" descr="Line arrow Straight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 rot="10800000">
            <a:off x="12525872" y="563880"/>
            <a:ext cx="452231" cy="498801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358140</xdr:colOff>
      <xdr:row>0</xdr:row>
      <xdr:rowOff>45720</xdr:rowOff>
    </xdr:from>
    <xdr:to>
      <xdr:col>11</xdr:col>
      <xdr:colOff>548640</xdr:colOff>
      <xdr:row>1</xdr:row>
      <xdr:rowOff>426720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 txBox="1"/>
      </xdr:nvSpPr>
      <xdr:spPr>
        <a:xfrm>
          <a:off x="5532120" y="45720"/>
          <a:ext cx="3718560" cy="77724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4400"/>
            <a:t>LOGBOOK</a:t>
          </a:r>
          <a:endParaRPr lang="en-GB" sz="1100"/>
        </a:p>
      </xdr:txBody>
    </xdr:sp>
    <xdr:clientData/>
  </xdr:twoCellAnchor>
  <xdr:twoCellAnchor>
    <xdr:from>
      <xdr:col>0</xdr:col>
      <xdr:colOff>579120</xdr:colOff>
      <xdr:row>1</xdr:row>
      <xdr:rowOff>387557</xdr:rowOff>
    </xdr:from>
    <xdr:to>
      <xdr:col>2</xdr:col>
      <xdr:colOff>38100</xdr:colOff>
      <xdr:row>2</xdr:row>
      <xdr:rowOff>393102</xdr:rowOff>
    </xdr:to>
    <xdr:sp macro="[0]!BackRegister" textlink="">
      <xdr:nvSpPr>
        <xdr:cNvPr id="27" name="Rectangle: Rounded Corners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579120" y="783797"/>
          <a:ext cx="952500" cy="546565"/>
        </a:xfrm>
        <a:prstGeom prst="roundRect">
          <a:avLst/>
        </a:prstGeom>
        <a:gradFill rotWithShape="1">
          <a:gsLst>
            <a:gs pos="0">
              <a:srgbClr val="A5A5A5">
                <a:satMod val="103000"/>
                <a:lumMod val="102000"/>
                <a:tint val="94000"/>
              </a:srgbClr>
            </a:gs>
            <a:gs pos="50000">
              <a:srgbClr val="A5A5A5">
                <a:satMod val="110000"/>
                <a:lumMod val="100000"/>
                <a:shade val="100000"/>
              </a:srgbClr>
            </a:gs>
            <a:gs pos="100000">
              <a:srgbClr val="A5A5A5">
                <a:lumMod val="99000"/>
                <a:satMod val="120000"/>
                <a:shade val="78000"/>
              </a:srgbClr>
            </a:gs>
          </a:gsLst>
          <a:lin ang="5400000" scaled="0"/>
        </a:gradFill>
        <a:ln w="6350" cap="flat" cmpd="sng" algn="ctr">
          <a:solidFill>
            <a:srgbClr val="A5A5A5"/>
          </a:solidFill>
          <a:prstDash val="solid"/>
          <a:miter lim="800000"/>
        </a:ln>
        <a:effectLst/>
      </xdr:spPr>
      <xdr:txBody>
        <a:bodyPr vertOverflow="clip" horzOverflow="clip" rtlCol="0" anchor="b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FLIGHT REG</a:t>
          </a:r>
        </a:p>
      </xdr:txBody>
    </xdr:sp>
    <xdr:clientData/>
  </xdr:twoCellAnchor>
  <xdr:twoCellAnchor>
    <xdr:from>
      <xdr:col>0</xdr:col>
      <xdr:colOff>768851</xdr:colOff>
      <xdr:row>1</xdr:row>
      <xdr:rowOff>327660</xdr:rowOff>
    </xdr:from>
    <xdr:to>
      <xdr:col>1</xdr:col>
      <xdr:colOff>430131</xdr:colOff>
      <xdr:row>2</xdr:row>
      <xdr:rowOff>276747</xdr:rowOff>
    </xdr:to>
    <xdr:pic macro="[0]!BackRegister">
      <xdr:nvPicPr>
        <xdr:cNvPr id="28" name="Graphic 27" descr="Line arrow Straight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rcRect/>
        <a:stretch/>
      </xdr:blipFill>
      <xdr:spPr>
        <a:xfrm>
          <a:off x="768851" y="723900"/>
          <a:ext cx="453760" cy="490107"/>
        </a:xfrm>
        <a:prstGeom prst="rect">
          <a:avLst/>
        </a:prstGeom>
      </xdr:spPr>
    </xdr:pic>
    <xdr:clientData/>
  </xdr:twoCellAnchor>
  <xdr:oneCellAnchor>
    <xdr:from>
      <xdr:col>6</xdr:col>
      <xdr:colOff>389467</xdr:colOff>
      <xdr:row>2</xdr:row>
      <xdr:rowOff>287866</xdr:rowOff>
    </xdr:from>
    <xdr:ext cx="1574800" cy="201915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FC6CC28-D301-46F2-818E-CAF90A08A011}"/>
            </a:ext>
          </a:extLst>
        </xdr:cNvPr>
        <xdr:cNvSpPr txBox="1"/>
      </xdr:nvSpPr>
      <xdr:spPr>
        <a:xfrm>
          <a:off x="4961467" y="1227666"/>
          <a:ext cx="1574800" cy="20191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GB" sz="700"/>
            <a:t>[DATE</a:t>
          </a:r>
          <a:r>
            <a:rPr lang="en-GB" sz="700" baseline="0"/>
            <a:t> FORMAT:  dd/mm/yyyy]</a:t>
          </a:r>
          <a:endParaRPr lang="en-GB" sz="7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411480</xdr:colOff>
      <xdr:row>7</xdr:row>
      <xdr:rowOff>91440</xdr:rowOff>
    </xdr:from>
    <xdr:to>
      <xdr:col>2</xdr:col>
      <xdr:colOff>76200</xdr:colOff>
      <xdr:row>10</xdr:row>
      <xdr:rowOff>167640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pSpPr/>
      </xdr:nvGrpSpPr>
      <xdr:grpSpPr>
        <a:xfrm>
          <a:off x="411480" y="1531620"/>
          <a:ext cx="883920" cy="647700"/>
          <a:chOff x="548640" y="861060"/>
          <a:chExt cx="883920" cy="617220"/>
        </a:xfrm>
      </xdr:grpSpPr>
      <xdr:sp macro="[0]!ToLogbook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548640" y="922020"/>
            <a:ext cx="883920" cy="556260"/>
          </a:xfrm>
          <a:prstGeom prst="roundRect">
            <a:avLst/>
          </a:prstGeom>
          <a:ln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en-GB" sz="1100"/>
              <a:t>LOGBOOK</a:t>
            </a:r>
          </a:p>
        </xdr:txBody>
      </xdr:sp>
      <xdr:pic macro="[0]!ToLogbook">
        <xdr:nvPicPr>
          <xdr:cNvPr id="4" name="Graphic 3" descr="Line arrow Straight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737732" y="861060"/>
            <a:ext cx="452231" cy="49880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411480</xdr:colOff>
      <xdr:row>11</xdr:row>
      <xdr:rowOff>74368</xdr:rowOff>
    </xdr:from>
    <xdr:to>
      <xdr:col>2</xdr:col>
      <xdr:colOff>76200</xdr:colOff>
      <xdr:row>14</xdr:row>
      <xdr:rowOff>137160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pSpPr/>
      </xdr:nvGrpSpPr>
      <xdr:grpSpPr>
        <a:xfrm>
          <a:off x="411480" y="2276548"/>
          <a:ext cx="883920" cy="626672"/>
          <a:chOff x="627828" y="947979"/>
          <a:chExt cx="886908" cy="600674"/>
        </a:xfrm>
      </xdr:grpSpPr>
      <xdr:sp macro="[0]!BackRegister" textlink="">
        <xdr:nvSpPr>
          <xdr:cNvPr id="10" name="Rectangle: Rounded Corners 9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/>
        </xdr:nvSpPr>
        <xdr:spPr>
          <a:xfrm>
            <a:off x="627828" y="1003151"/>
            <a:ext cx="886908" cy="545502"/>
          </a:xfrm>
          <a:prstGeom prst="roundRect">
            <a:avLst/>
          </a:prstGeom>
          <a:ln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en-GB" sz="1050"/>
              <a:t>FLIGHT REG</a:t>
            </a:r>
          </a:p>
        </xdr:txBody>
      </xdr:sp>
      <xdr:pic macro="[0]!BackRegister">
        <xdr:nvPicPr>
          <xdr:cNvPr id="11" name="Graphic 10" descr="Line arrow Straight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828495" y="947979"/>
            <a:ext cx="455219" cy="487657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297328</xdr:colOff>
      <xdr:row>2</xdr:row>
      <xdr:rowOff>73212</xdr:rowOff>
    </xdr:from>
    <xdr:to>
      <xdr:col>15</xdr:col>
      <xdr:colOff>259975</xdr:colOff>
      <xdr:row>3</xdr:row>
      <xdr:rowOff>147917</xdr:rowOff>
    </xdr:to>
    <xdr:sp macro="[0]!ShowRangeHours" textlink="">
      <xdr:nvSpPr>
        <xdr:cNvPr id="18" name="Rectangle: Rounded Corners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>
          <a:off x="10591799" y="446741"/>
          <a:ext cx="575235" cy="254000"/>
        </a:xfrm>
        <a:prstGeom prst="roundRect">
          <a:avLst/>
        </a:prstGeom>
        <a:gradFill rotWithShape="1">
          <a:gsLst>
            <a:gs pos="0">
              <a:srgbClr val="A5A5A5">
                <a:satMod val="103000"/>
                <a:lumMod val="102000"/>
                <a:tint val="94000"/>
              </a:srgbClr>
            </a:gs>
            <a:gs pos="50000">
              <a:srgbClr val="A5A5A5">
                <a:satMod val="110000"/>
                <a:lumMod val="100000"/>
                <a:shade val="100000"/>
              </a:srgbClr>
            </a:gs>
            <a:gs pos="100000">
              <a:srgbClr val="A5A5A5">
                <a:lumMod val="99000"/>
                <a:satMod val="120000"/>
                <a:shade val="78000"/>
              </a:srgbClr>
            </a:gs>
          </a:gsLst>
          <a:lin ang="5400000" scaled="0"/>
        </a:gradFill>
        <a:ln w="6350" cap="flat" cmpd="sng" algn="ctr">
          <a:solidFill>
            <a:srgbClr val="A5A5A5"/>
          </a:solidFill>
          <a:prstDash val="solid"/>
          <a:miter lim="800000"/>
        </a:ln>
        <a:effectLst/>
      </xdr:spPr>
      <xdr:txBody>
        <a:bodyPr vertOverflow="clip" horzOverflow="clip" rtlCol="0" anchor="b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SHOW</a:t>
          </a: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60960</xdr:colOff>
      <xdr:row>0</xdr:row>
      <xdr:rowOff>129540</xdr:rowOff>
    </xdr:from>
    <xdr:to>
      <xdr:col>2</xdr:col>
      <xdr:colOff>472440</xdr:colOff>
      <xdr:row>4</xdr:row>
      <xdr:rowOff>161713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60960" y="129540"/>
          <a:ext cx="1630680" cy="778933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4400"/>
            <a:t>STATS</a:t>
          </a:r>
          <a:endParaRPr lang="en-GB" sz="1100"/>
        </a:p>
      </xdr:txBody>
    </xdr:sp>
    <xdr:clientData/>
  </xdr:twoCellAnchor>
  <xdr:twoCellAnchor>
    <xdr:from>
      <xdr:col>0</xdr:col>
      <xdr:colOff>396240</xdr:colOff>
      <xdr:row>17</xdr:row>
      <xdr:rowOff>17628</xdr:rowOff>
    </xdr:from>
    <xdr:to>
      <xdr:col>2</xdr:col>
      <xdr:colOff>76200</xdr:colOff>
      <xdr:row>20</xdr:row>
      <xdr:rowOff>99060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pSpPr/>
      </xdr:nvGrpSpPr>
      <xdr:grpSpPr>
        <a:xfrm>
          <a:off x="396240" y="3347568"/>
          <a:ext cx="899160" cy="630072"/>
          <a:chOff x="3520440" y="3804768"/>
          <a:chExt cx="960120" cy="683412"/>
        </a:xfrm>
      </xdr:grpSpPr>
      <xdr:sp macro="[0]!RefreshStats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SpPr/>
        </xdr:nvSpPr>
        <xdr:spPr>
          <a:xfrm>
            <a:off x="3520440" y="3804768"/>
            <a:ext cx="960120" cy="683412"/>
          </a:xfrm>
          <a:prstGeom prst="roundRect">
            <a:avLst/>
          </a:prstGeom>
          <a:ln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en-GB" sz="1050"/>
              <a:t>REFRESH </a:t>
            </a:r>
          </a:p>
        </xdr:txBody>
      </xdr:sp>
      <xdr:pic macro="[0]!RefreshStats">
        <xdr:nvPicPr>
          <xdr:cNvPr id="8" name="Graphic 7" descr="Refresh RTL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3842351" y="3873807"/>
            <a:ext cx="394369" cy="394369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59C57AD-BCDE-45A3-B944-3287CE573AB6}" name="Table1" displayName="Table1" ref="A5:Y10" totalsRowShown="0" headerRowDxfId="11">
  <autoFilter ref="A5:Y10" xr:uid="{759C57AD-BCDE-45A3-B944-3287CE573AB6}"/>
  <tableColumns count="25">
    <tableColumn id="1" xr3:uid="{D24CF625-8486-4899-8FA0-F27617C70EF5}" name="Date" dataDxfId="10"/>
    <tableColumn id="2" xr3:uid="{2D268EE6-1DB5-4F16-B9F3-2EB2D1E3437F}" name="Place"/>
    <tableColumn id="3" xr3:uid="{2280F67D-DB8E-4BD9-800D-316BF1BD81B4}" name="Time" dataDxfId="9"/>
    <tableColumn id="4" xr3:uid="{0DA83CFD-DCC2-4E42-AB54-8D3A7D53A914}" name="Place2"/>
    <tableColumn id="5" xr3:uid="{CC072246-98EE-4A80-BE65-5CF9158C2E31}" name="Time3" dataDxfId="8"/>
    <tableColumn id="6" xr3:uid="{19420876-8998-44CF-8201-4EDD570FB988}" name="Fab. Mod. Var"/>
    <tableColumn id="7" xr3:uid="{A635C7BE-9DFD-4965-A487-B5C67D47C28A}" name="Reg."/>
    <tableColumn id="8" xr3:uid="{D1C95186-6667-499C-BB18-D2D9A2CD8FA8}" name="SE"/>
    <tableColumn id="9" xr3:uid="{1C297B35-E32A-43B1-B1F9-6760BFFB64F6}" name="ME"/>
    <tableColumn id="10" xr3:uid="{B97F9A45-202C-41BC-83B9-3F1FCF1B893A}" name="Multipilot time" dataDxfId="7"/>
    <tableColumn id="11" xr3:uid="{C7E542D1-2D82-42E9-A34C-515DCE02C937}" name="Total time of flight" dataDxfId="6"/>
    <tableColumn id="12" xr3:uid="{B1718A1C-6089-4E11-BAB7-B60323CA881F}" name="Name PIC"/>
    <tableColumn id="13" xr3:uid="{FFF9764F-6C1C-4D99-BA13-8E7B34C4B8BE}" name="Day"/>
    <tableColumn id="14" xr3:uid="{ABFFBDEF-1ABB-4CFC-9AE0-F7899DB51E9B}" name="Night"/>
    <tableColumn id="15" xr3:uid="{814CA892-EB9F-4D6D-8E45-65932FC2ECC6}" name="Night4"/>
    <tableColumn id="16" xr3:uid="{69557B1F-F819-4337-97A4-727D9E1710F5}" name="IFR"/>
    <tableColumn id="17" xr3:uid="{7D3C091A-8F62-4B2E-BF8D-730A120BC82E}" name="Pilot-in command" dataDxfId="5"/>
    <tableColumn id="18" xr3:uid="{5C903032-C3D9-4205-B2CB-43B782C36828}" name="Co-pilot" dataDxfId="4"/>
    <tableColumn id="19" xr3:uid="{CF33880B-596F-4CB4-B16D-0835EB821040}" name="Dual" dataDxfId="3"/>
    <tableColumn id="20" xr3:uid="{91C9095F-53AD-4614-A238-7B09BE9E2C7A}" name="Instructor" dataDxfId="2"/>
    <tableColumn id="21" xr3:uid="{9FF378B4-B7B1-4AB8-8E4C-BC6DDEBFF7A3}" name="Date2" dataDxfId="1"/>
    <tableColumn id="22" xr3:uid="{90D41A11-A289-4CE1-86A0-8A80AECA077C}" name="Type"/>
    <tableColumn id="23" xr3:uid="{36C7FF79-C434-4E98-A0EC-8E0962991A73}" name="Total time of session" dataDxfId="0"/>
    <tableColumn id="24" xr3:uid="{4F42677A-BFD2-4664-BEA7-980E0330912B}" name="Remarks"/>
    <tableColumn id="25" xr3:uid="{38188357-1632-4134-AC46-3BD684F288AC}" name="Flight Type"/>
  </tableColumns>
  <tableStyleInfo name="TableStyleMedium2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image" Target="../media/image13.emf"/><Relationship Id="rId4" Type="http://schemas.openxmlformats.org/officeDocument/2006/relationships/control" Target="../activeX/activeX7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CBE100-0BD0-4906-8800-182BE9F96119}">
  <sheetPr codeName="Sheet1"/>
  <dimension ref="A1:T17"/>
  <sheetViews>
    <sheetView tabSelected="1" zoomScale="90" zoomScaleNormal="90" workbookViewId="0">
      <selection activeCell="B25" sqref="B25"/>
    </sheetView>
  </sheetViews>
  <sheetFormatPr defaultRowHeight="14.4" x14ac:dyDescent="0.3"/>
  <cols>
    <col min="1" max="1" width="1.88671875" customWidth="1"/>
    <col min="2" max="2" width="22.77734375" customWidth="1"/>
    <col min="5" max="5" width="12.109375" customWidth="1"/>
    <col min="6" max="6" width="13.33203125" customWidth="1"/>
    <col min="7" max="7" width="15.88671875" customWidth="1"/>
    <col min="8" max="8" width="20.44140625" customWidth="1"/>
    <col min="9" max="9" width="13.77734375" customWidth="1"/>
    <col min="10" max="10" width="16" customWidth="1"/>
    <col min="11" max="11" width="14.6640625" customWidth="1"/>
    <col min="12" max="12" width="18.33203125" customWidth="1"/>
    <col min="13" max="13" width="10.88671875" customWidth="1"/>
    <col min="15" max="15" width="8.88671875" customWidth="1"/>
    <col min="16" max="16" width="9.6640625" customWidth="1"/>
    <col min="17" max="17" width="14.6640625" customWidth="1"/>
    <col min="18" max="18" width="16.6640625" customWidth="1"/>
  </cols>
  <sheetData>
    <row r="1" spans="1:20" x14ac:dyDescent="0.3">
      <c r="A1" s="68" t="s">
        <v>34</v>
      </c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  <c r="P1" s="69"/>
      <c r="Q1" s="69"/>
      <c r="R1" s="69"/>
    </row>
    <row r="2" spans="1:20" x14ac:dyDescent="0.3">
      <c r="A2" s="69"/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  <c r="R2" s="69"/>
    </row>
    <row r="3" spans="1:20" x14ac:dyDescent="0.3">
      <c r="A3" s="69"/>
      <c r="B3" s="69"/>
      <c r="C3" s="69"/>
      <c r="D3" s="69"/>
      <c r="E3" s="69"/>
      <c r="F3" s="69"/>
      <c r="G3" s="69"/>
      <c r="H3" s="69"/>
      <c r="I3" s="69"/>
      <c r="J3" s="69"/>
      <c r="K3" s="69"/>
      <c r="L3" s="69"/>
      <c r="M3" s="69"/>
      <c r="N3" s="69"/>
      <c r="O3" s="69"/>
      <c r="P3" s="69"/>
      <c r="Q3" s="69"/>
      <c r="R3" s="69"/>
    </row>
    <row r="4" spans="1:20" x14ac:dyDescent="0.3">
      <c r="A4" s="69"/>
      <c r="B4" s="69"/>
      <c r="C4" s="69"/>
      <c r="D4" s="69"/>
      <c r="E4" s="69"/>
      <c r="F4" s="69"/>
      <c r="G4" s="69"/>
      <c r="H4" s="69"/>
      <c r="I4" s="69"/>
      <c r="J4" s="69"/>
      <c r="K4" s="69"/>
      <c r="L4" s="69"/>
      <c r="M4" s="69"/>
      <c r="N4" s="69"/>
      <c r="O4" s="69"/>
      <c r="P4" s="69"/>
      <c r="Q4" s="69"/>
      <c r="R4" s="69"/>
    </row>
    <row r="5" spans="1:20" x14ac:dyDescent="0.3">
      <c r="A5" s="69"/>
      <c r="B5" s="69"/>
      <c r="C5" s="69"/>
      <c r="D5" s="69"/>
      <c r="E5" s="69"/>
      <c r="F5" s="69"/>
      <c r="G5" s="69"/>
      <c r="H5" s="69"/>
      <c r="I5" s="69"/>
      <c r="J5" s="69"/>
      <c r="K5" s="69"/>
      <c r="L5" s="69"/>
      <c r="M5" s="69"/>
      <c r="N5" s="69"/>
      <c r="O5" s="69"/>
      <c r="P5" s="69"/>
      <c r="Q5" s="69"/>
      <c r="R5" s="69"/>
    </row>
    <row r="6" spans="1:20" x14ac:dyDescent="0.3">
      <c r="A6" s="69"/>
      <c r="B6" s="69"/>
      <c r="C6" s="69"/>
      <c r="D6" s="69"/>
      <c r="E6" s="69"/>
      <c r="F6" s="69"/>
      <c r="G6" s="69"/>
      <c r="H6" s="69"/>
      <c r="I6" s="69"/>
      <c r="J6" s="69"/>
      <c r="K6" s="69"/>
      <c r="L6" s="69"/>
      <c r="M6" s="69"/>
      <c r="N6" s="69"/>
      <c r="O6" s="69"/>
      <c r="P6" s="69"/>
      <c r="Q6" s="69"/>
      <c r="R6" s="69"/>
    </row>
    <row r="7" spans="1:20" x14ac:dyDescent="0.3">
      <c r="A7" s="69"/>
      <c r="B7" s="69"/>
      <c r="C7" s="69"/>
      <c r="D7" s="69"/>
      <c r="E7" s="69"/>
      <c r="F7" s="69"/>
      <c r="G7" s="69"/>
      <c r="H7" s="69"/>
      <c r="I7" s="69"/>
      <c r="J7" s="69"/>
      <c r="K7" s="69"/>
      <c r="L7" s="69"/>
      <c r="M7" s="69"/>
      <c r="N7" s="69"/>
      <c r="O7" s="69"/>
      <c r="P7" s="69"/>
      <c r="Q7" s="69"/>
      <c r="R7" s="69"/>
    </row>
    <row r="10" spans="1:20" ht="15" customHeight="1" thickBot="1" x14ac:dyDescent="0.35"/>
    <row r="11" spans="1:20" ht="29.4" customHeight="1" thickBot="1" x14ac:dyDescent="0.35">
      <c r="A11" s="1"/>
      <c r="B11" s="76" t="s">
        <v>0</v>
      </c>
      <c r="C11" s="61" t="s">
        <v>1</v>
      </c>
      <c r="D11" s="62"/>
      <c r="E11" s="61" t="s">
        <v>2</v>
      </c>
      <c r="F11" s="62"/>
      <c r="G11" s="61" t="s">
        <v>3</v>
      </c>
      <c r="H11" s="63"/>
      <c r="I11" s="64" t="s">
        <v>4</v>
      </c>
      <c r="J11" s="65"/>
      <c r="K11" s="64" t="s">
        <v>9</v>
      </c>
      <c r="L11" s="77" t="s">
        <v>10</v>
      </c>
      <c r="M11" s="65" t="s">
        <v>11</v>
      </c>
      <c r="N11" s="61" t="s">
        <v>12</v>
      </c>
      <c r="O11" s="62"/>
      <c r="P11" s="76" t="s">
        <v>15</v>
      </c>
      <c r="Q11" s="76"/>
      <c r="R11" s="1"/>
      <c r="S11" s="1"/>
      <c r="T11" s="1"/>
    </row>
    <row r="12" spans="1:20" x14ac:dyDescent="0.3">
      <c r="A12" s="1"/>
      <c r="B12" s="76"/>
      <c r="C12" s="6" t="s">
        <v>6</v>
      </c>
      <c r="D12" s="8" t="s">
        <v>7</v>
      </c>
      <c r="E12" s="6" t="s">
        <v>6</v>
      </c>
      <c r="F12" s="8" t="s">
        <v>7</v>
      </c>
      <c r="G12" s="6" t="s">
        <v>5</v>
      </c>
      <c r="H12" s="7" t="s">
        <v>8</v>
      </c>
      <c r="I12" s="66"/>
      <c r="J12" s="67"/>
      <c r="K12" s="66"/>
      <c r="L12" s="78"/>
      <c r="M12" s="67"/>
      <c r="N12" s="6" t="s">
        <v>13</v>
      </c>
      <c r="O12" s="8" t="s">
        <v>14</v>
      </c>
      <c r="P12" s="6" t="s">
        <v>14</v>
      </c>
      <c r="Q12" s="8" t="s">
        <v>16</v>
      </c>
      <c r="R12" s="1"/>
      <c r="S12" s="1"/>
      <c r="T12" s="1"/>
    </row>
    <row r="13" spans="1:20" ht="34.200000000000003" customHeight="1" x14ac:dyDescent="0.3">
      <c r="B13" s="41"/>
      <c r="C13" s="42"/>
      <c r="D13" s="43"/>
      <c r="E13" s="52"/>
      <c r="F13" s="43"/>
      <c r="G13" s="42" t="s">
        <v>68</v>
      </c>
      <c r="H13" s="42"/>
      <c r="I13" s="50"/>
      <c r="J13" s="51"/>
      <c r="K13" s="43"/>
      <c r="L13" s="44"/>
      <c r="M13" s="42" t="s">
        <v>40</v>
      </c>
      <c r="N13" s="42"/>
      <c r="O13" s="42"/>
      <c r="P13" s="42"/>
      <c r="Q13" s="42"/>
    </row>
    <row r="14" spans="1:20" ht="15" thickBot="1" x14ac:dyDescent="0.35"/>
    <row r="15" spans="1:20" ht="15" thickBot="1" x14ac:dyDescent="0.35">
      <c r="B15" s="61" t="s">
        <v>21</v>
      </c>
      <c r="C15" s="63"/>
      <c r="D15" s="63"/>
      <c r="E15" s="62"/>
      <c r="F15" s="61" t="s">
        <v>24</v>
      </c>
      <c r="G15" s="63"/>
      <c r="H15" s="62"/>
      <c r="I15" s="77" t="s">
        <v>25</v>
      </c>
      <c r="J15" s="77" t="s">
        <v>26</v>
      </c>
    </row>
    <row r="16" spans="1:20" ht="25.2" customHeight="1" x14ac:dyDescent="0.3">
      <c r="B16" s="73"/>
      <c r="C16" s="74"/>
      <c r="D16" s="74"/>
      <c r="E16" s="75"/>
      <c r="F16" s="6" t="s">
        <v>0</v>
      </c>
      <c r="G16" s="7" t="s">
        <v>22</v>
      </c>
      <c r="H16" s="8" t="s">
        <v>23</v>
      </c>
      <c r="I16" s="78"/>
      <c r="J16" s="78"/>
    </row>
    <row r="17" spans="2:10" ht="39" customHeight="1" x14ac:dyDescent="0.3">
      <c r="B17" s="70"/>
      <c r="C17" s="71"/>
      <c r="D17" s="71"/>
      <c r="E17" s="72"/>
      <c r="F17" s="45"/>
      <c r="G17" s="42"/>
      <c r="H17" s="43"/>
      <c r="I17" s="42"/>
      <c r="J17" s="42" t="s">
        <v>37</v>
      </c>
    </row>
  </sheetData>
  <sheetProtection algorithmName="SHA-512" hashValue="06Vq1/Nqk2Da/Ne9yd245LwbxMJrjobtEpVa0Md56mJR0J/XnXFutBMnKf88AgEeq8g/8ptzncPyZ5I2lHh/vw==" saltValue="//jqroIAZDNLqQ8Q0tkgCg==" spinCount="100000" sheet="1" objects="1" scenarios="1"/>
  <dataConsolidate/>
  <mergeCells count="17">
    <mergeCell ref="C11:D11"/>
    <mergeCell ref="E11:F11"/>
    <mergeCell ref="G11:H11"/>
    <mergeCell ref="I11:J12"/>
    <mergeCell ref="A1:R7"/>
    <mergeCell ref="B17:E17"/>
    <mergeCell ref="B16:E16"/>
    <mergeCell ref="N11:O11"/>
    <mergeCell ref="P11:Q11"/>
    <mergeCell ref="B15:E15"/>
    <mergeCell ref="F15:H15"/>
    <mergeCell ref="B11:B12"/>
    <mergeCell ref="I15:I16"/>
    <mergeCell ref="J15:J16"/>
    <mergeCell ref="L11:L12"/>
    <mergeCell ref="M11:M12"/>
    <mergeCell ref="K11:K12"/>
  </mergeCells>
  <dataValidations count="17">
    <dataValidation type="date" allowBlank="1" showInputMessage="1" showErrorMessage="1" promptTitle="Date of flight" prompt="Format dd/mm/yyyy" sqref="B13" xr:uid="{E03B0991-2AB3-4ABB-81D1-4A5713F024D2}">
      <formula1>32874</formula1>
      <formula2>402133</formula2>
    </dataValidation>
    <dataValidation allowBlank="1" showInputMessage="1" showErrorMessage="1" promptTitle="Place of departure" prompt="ICAO code" sqref="C13" xr:uid="{5EEBE144-EAAD-4DB3-BF6E-4404AA7518F4}"/>
    <dataValidation type="time" allowBlank="1" showInputMessage="1" showErrorMessage="1" errorTitle="Wrong data type" promptTitle="Time of departure" prompt="Format HH:MM" sqref="D13" xr:uid="{64CF44E5-FA71-4658-BE4A-858DD14BA9BC}">
      <formula1>0</formula1>
      <formula2>0.999305555555556</formula2>
    </dataValidation>
    <dataValidation allowBlank="1" showInputMessage="1" showErrorMessage="1" promptTitle="Place of arrival" prompt="ICAO code" sqref="E13" xr:uid="{3E6B1E7C-5EA9-4819-B627-E1A03D610741}"/>
    <dataValidation allowBlank="1" showInputMessage="1" showErrorMessage="1" promptTitle="Time of arrival" prompt="Format HH:MM" sqref="F13" xr:uid="{5FC3EAB8-660A-4637-80FA-238AE8A41303}"/>
    <dataValidation allowBlank="1" showInputMessage="1" showErrorMessage="1" promptTitle="Aircraft Registration" prompt="EC-XXX (Spain)" sqref="H13" xr:uid="{89F3E6F0-029E-4543-BE1A-A2E7CDCC49CC}"/>
    <dataValidation allowBlank="1" showInputMessage="1" showErrorMessage="1" promptTitle="Multipilot time" prompt="Format HH:MM" sqref="K13" xr:uid="{094594A6-1233-4C93-ACEE-DBB5B8425960}"/>
    <dataValidation allowBlank="1" showInputMessage="1" showErrorMessage="1" promptTitle="Total time of flight" prompt="Automatic filling" sqref="L13" xr:uid="{E1BB37F8-755B-4802-9522-07E361A93177}"/>
    <dataValidation type="decimal" allowBlank="1" showInputMessage="1" showErrorMessage="1" prompt="Number of day landings" sqref="N13" xr:uid="{B5725135-354D-4F34-B197-10EAE7925176}">
      <formula1>1</formula1>
      <formula2>100000</formula2>
    </dataValidation>
    <dataValidation type="decimal" allowBlank="1" showInputMessage="1" showErrorMessage="1" prompt="Number of night landings" sqref="O13" xr:uid="{342E5613-AD65-4037-9DC1-7AA40E8138A4}">
      <formula1>1</formula1>
      <formula2>100000</formula2>
    </dataValidation>
    <dataValidation type="time" allowBlank="1" showInputMessage="1" showErrorMessage="1" prompt="Op. condition time" sqref="P13" xr:uid="{6BF56173-F565-49FE-8B90-55A59ED848BD}">
      <formula1>0</formula1>
      <formula2>0.999305555555556</formula2>
    </dataValidation>
    <dataValidation type="time" allowBlank="1" showInputMessage="1" showErrorMessage="1" prompt="IFR" sqref="Q13" xr:uid="{C55634A6-5E2C-4B00-8EB6-3057C67B4B98}">
      <formula1>0</formula1>
      <formula2>0.999305555555556</formula2>
    </dataValidation>
    <dataValidation allowBlank="1" showInputMessage="1" showErrorMessage="1" promptTitle="Flight simulator date" prompt="Automatic filling" sqref="F17" xr:uid="{F269C7D5-C0A7-469D-9515-5C566558E49A}"/>
    <dataValidation allowBlank="1" showInputMessage="1" showErrorMessage="1" promptTitle="Flight simulator Type" prompt="Sim model/type" sqref="G17" xr:uid="{28ABA914-D392-4142-A686-318D5F173EF5}"/>
    <dataValidation type="time" allowBlank="1" showInputMessage="1" showErrorMessage="1" promptTitle="Flight simulator total time" prompt="Format HH:MM" sqref="H17" xr:uid="{5CB6BB36-875D-4906-92DA-C961DF82F8F4}">
      <formula1>0</formula1>
      <formula2>0.999305555555556</formula2>
    </dataValidation>
    <dataValidation allowBlank="1" showInputMessage="1" showErrorMessage="1" prompt="Remarks / Comments" sqref="I17" xr:uid="{346D6298-0C34-4632-BD3D-98617D6B2082}"/>
    <dataValidation allowBlank="1" showInputMessage="1" showErrorMessage="1" promptTitle="Pilot function time" prompt="Automatic filling_x000a_" sqref="B17" xr:uid="{2674EA26-AD9E-463A-BC7E-415BFDE1A9AD}"/>
  </dataValidations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42" r:id="rId4" name="InstrBttn">
          <controlPr defaultSize="0" autoLine="0" r:id="rId5">
            <anchor moveWithCells="1">
              <from>
                <xdr:col>3</xdr:col>
                <xdr:colOff>548640</xdr:colOff>
                <xdr:row>15</xdr:row>
                <xdr:rowOff>38100</xdr:rowOff>
              </from>
              <to>
                <xdr:col>4</xdr:col>
                <xdr:colOff>655320</xdr:colOff>
                <xdr:row>15</xdr:row>
                <xdr:rowOff>297180</xdr:rowOff>
              </to>
            </anchor>
          </controlPr>
        </control>
      </mc:Choice>
      <mc:Fallback>
        <control shapeId="1042" r:id="rId4" name="InstrBttn"/>
      </mc:Fallback>
    </mc:AlternateContent>
    <mc:AlternateContent xmlns:mc="http://schemas.openxmlformats.org/markup-compatibility/2006">
      <mc:Choice Requires="x14">
        <control shapeId="1041" r:id="rId6" name="DualBttn">
          <controlPr defaultSize="0" autoLine="0" r:id="rId7">
            <anchor moveWithCells="1">
              <from>
                <xdr:col>2</xdr:col>
                <xdr:colOff>601980</xdr:colOff>
                <xdr:row>15</xdr:row>
                <xdr:rowOff>45720</xdr:rowOff>
              </from>
              <to>
                <xdr:col>3</xdr:col>
                <xdr:colOff>441960</xdr:colOff>
                <xdr:row>15</xdr:row>
                <xdr:rowOff>304800</xdr:rowOff>
              </to>
            </anchor>
          </controlPr>
        </control>
      </mc:Choice>
      <mc:Fallback>
        <control shapeId="1041" r:id="rId6" name="DualBttn"/>
      </mc:Fallback>
    </mc:AlternateContent>
    <mc:AlternateContent xmlns:mc="http://schemas.openxmlformats.org/markup-compatibility/2006">
      <mc:Choice Requires="x14">
        <control shapeId="1040" r:id="rId8" name="CopBttn">
          <controlPr defaultSize="0" autoLine="0" r:id="rId9">
            <anchor moveWithCells="1">
              <from>
                <xdr:col>1</xdr:col>
                <xdr:colOff>1379220</xdr:colOff>
                <xdr:row>15</xdr:row>
                <xdr:rowOff>45720</xdr:rowOff>
              </from>
              <to>
                <xdr:col>2</xdr:col>
                <xdr:colOff>502920</xdr:colOff>
                <xdr:row>15</xdr:row>
                <xdr:rowOff>274320</xdr:rowOff>
              </to>
            </anchor>
          </controlPr>
        </control>
      </mc:Choice>
      <mc:Fallback>
        <control shapeId="1040" r:id="rId8" name="CopBttn"/>
      </mc:Fallback>
    </mc:AlternateContent>
    <mc:AlternateContent xmlns:mc="http://schemas.openxmlformats.org/markup-compatibility/2006">
      <mc:Choice Requires="x14">
        <control shapeId="1039" r:id="rId10" name="PICBttn">
          <controlPr defaultSize="0" autoLine="0" r:id="rId11">
            <anchor moveWithCells="1">
              <from>
                <xdr:col>1</xdr:col>
                <xdr:colOff>114300</xdr:colOff>
                <xdr:row>15</xdr:row>
                <xdr:rowOff>38100</xdr:rowOff>
              </from>
              <to>
                <xdr:col>1</xdr:col>
                <xdr:colOff>1295400</xdr:colOff>
                <xdr:row>15</xdr:row>
                <xdr:rowOff>297180</xdr:rowOff>
              </to>
            </anchor>
          </controlPr>
        </control>
      </mc:Choice>
      <mc:Fallback>
        <control shapeId="1039" r:id="rId10" name="PICBttn"/>
      </mc:Fallback>
    </mc:AlternateContent>
    <mc:AlternateContent xmlns:mc="http://schemas.openxmlformats.org/markup-compatibility/2006">
      <mc:Choice Requires="x14">
        <control shapeId="1028" r:id="rId12" name="SEBttn">
          <controlPr defaultSize="0" autoLine="0" r:id="rId13">
            <anchor moveWithCells="1">
              <from>
                <xdr:col>8</xdr:col>
                <xdr:colOff>403860</xdr:colOff>
                <xdr:row>12</xdr:row>
                <xdr:rowOff>53340</xdr:rowOff>
              </from>
              <to>
                <xdr:col>8</xdr:col>
                <xdr:colOff>815340</xdr:colOff>
                <xdr:row>12</xdr:row>
                <xdr:rowOff>388620</xdr:rowOff>
              </to>
            </anchor>
          </controlPr>
        </control>
      </mc:Choice>
      <mc:Fallback>
        <control shapeId="1028" r:id="rId12" name="SEBttn"/>
      </mc:Fallback>
    </mc:AlternateContent>
    <mc:AlternateContent xmlns:mc="http://schemas.openxmlformats.org/markup-compatibility/2006">
      <mc:Choice Requires="x14">
        <control shapeId="1029" r:id="rId14" name="MEBttn">
          <controlPr defaultSize="0" autoLine="0" r:id="rId15">
            <anchor moveWithCells="1">
              <from>
                <xdr:col>9</xdr:col>
                <xdr:colOff>274320</xdr:colOff>
                <xdr:row>12</xdr:row>
                <xdr:rowOff>68580</xdr:rowOff>
              </from>
              <to>
                <xdr:col>9</xdr:col>
                <xdr:colOff>708660</xdr:colOff>
                <xdr:row>12</xdr:row>
                <xdr:rowOff>388620</xdr:rowOff>
              </to>
            </anchor>
          </controlPr>
        </control>
      </mc:Choice>
      <mc:Fallback>
        <control shapeId="1029" r:id="rId14" name="MEBt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ilot in command" prompt="Name" xr:uid="{3B3403C8-5FA7-40CC-88C9-B5DEE3D7981C}">
          <x14:formula1>
            <xm:f>Data!$A$21:$A$22</xm:f>
          </x14:formula1>
          <xm:sqref>M13</xm:sqref>
        </x14:dataValidation>
        <x14:dataValidation type="list" allowBlank="1" showInputMessage="1" showErrorMessage="1" promptTitle="Flight Type" prompt="Choose an option" xr:uid="{D5EDB23F-C605-4B2C-B7AE-4FC57CF90613}">
          <x14:formula1>
            <xm:f>Data!$A$2:$A$7</xm:f>
          </x14:formula1>
          <xm:sqref>J17</xm:sqref>
        </x14:dataValidation>
        <x14:dataValidation type="list" allowBlank="1" showInputMessage="1" showErrorMessage="1" promptTitle="Aircraft Fabrication Model" prompt="Choose an option" xr:uid="{91DBD4B1-2844-42A6-8C8E-12BE63C4054A}">
          <x14:formula1>
            <xm:f>Data!$B$17:$B$30</xm:f>
          </x14:formula1>
          <xm:sqref>G13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5E537E-3115-42FC-B687-27673BCF1A89}">
  <sheetPr codeName="Sheet4"/>
  <dimension ref="A1:Y10"/>
  <sheetViews>
    <sheetView zoomScale="90" zoomScaleNormal="90" workbookViewId="0">
      <selection activeCell="B25" sqref="B25"/>
    </sheetView>
  </sheetViews>
  <sheetFormatPr defaultRowHeight="14.4" x14ac:dyDescent="0.3"/>
  <cols>
    <col min="1" max="1" width="11.5546875" customWidth="1"/>
    <col min="2" max="2" width="10.21875" customWidth="1"/>
    <col min="3" max="3" width="11.21875" customWidth="1"/>
    <col min="4" max="4" width="9.88671875" customWidth="1"/>
    <col min="6" max="6" width="14.77734375" customWidth="1"/>
    <col min="10" max="10" width="15.33203125" customWidth="1"/>
    <col min="11" max="11" width="18.33203125" customWidth="1"/>
    <col min="12" max="12" width="13.21875" customWidth="1"/>
    <col min="15" max="15" width="15.44140625" customWidth="1"/>
    <col min="17" max="17" width="19.77734375" customWidth="1"/>
    <col min="18" max="18" width="12" customWidth="1"/>
    <col min="20" max="20" width="12.77734375" customWidth="1"/>
    <col min="21" max="21" width="18" customWidth="1"/>
    <col min="22" max="22" width="11.77734375" customWidth="1"/>
    <col min="23" max="23" width="20" customWidth="1"/>
    <col min="24" max="24" width="10.109375" customWidth="1"/>
    <col min="25" max="25" width="12" customWidth="1"/>
  </cols>
  <sheetData>
    <row r="1" spans="1:25" s="79" customFormat="1" ht="31.2" customHeight="1" x14ac:dyDescent="0.3"/>
    <row r="2" spans="1:25" s="79" customFormat="1" ht="42.6" customHeight="1" x14ac:dyDescent="0.3"/>
    <row r="3" spans="1:25" s="79" customFormat="1" ht="57.6" customHeight="1" x14ac:dyDescent="0.3"/>
    <row r="4" spans="1:25" x14ac:dyDescent="0.3">
      <c r="A4" s="1"/>
      <c r="B4" s="81" t="s">
        <v>1</v>
      </c>
      <c r="C4" s="82"/>
      <c r="D4" s="80" t="s">
        <v>2</v>
      </c>
      <c r="E4" s="82"/>
      <c r="F4" s="81" t="s">
        <v>3</v>
      </c>
      <c r="G4" s="82"/>
      <c r="H4" s="81" t="s">
        <v>4</v>
      </c>
      <c r="I4" s="81"/>
      <c r="J4" s="2"/>
      <c r="K4" s="2"/>
      <c r="L4" s="2"/>
      <c r="M4" s="81" t="s">
        <v>12</v>
      </c>
      <c r="N4" s="82"/>
      <c r="O4" s="80" t="s">
        <v>15</v>
      </c>
      <c r="P4" s="82"/>
      <c r="Q4" s="80" t="s">
        <v>21</v>
      </c>
      <c r="R4" s="81"/>
      <c r="S4" s="81"/>
      <c r="T4" s="82"/>
      <c r="U4" s="80" t="s">
        <v>24</v>
      </c>
      <c r="V4" s="81"/>
      <c r="W4" s="81"/>
      <c r="X4" s="3"/>
      <c r="Y4" s="3"/>
    </row>
    <row r="5" spans="1:25" x14ac:dyDescent="0.3">
      <c r="A5" s="1" t="s">
        <v>0</v>
      </c>
      <c r="B5" s="1" t="s">
        <v>6</v>
      </c>
      <c r="C5" s="1" t="s">
        <v>7</v>
      </c>
      <c r="D5" s="1" t="s">
        <v>29</v>
      </c>
      <c r="E5" s="1" t="s">
        <v>30</v>
      </c>
      <c r="F5" s="1" t="s">
        <v>5</v>
      </c>
      <c r="G5" s="4" t="s">
        <v>8</v>
      </c>
      <c r="H5" s="1" t="s">
        <v>27</v>
      </c>
      <c r="I5" s="1" t="s">
        <v>28</v>
      </c>
      <c r="J5" s="1" t="s">
        <v>9</v>
      </c>
      <c r="K5" s="1" t="s">
        <v>10</v>
      </c>
      <c r="L5" s="1" t="s">
        <v>11</v>
      </c>
      <c r="M5" s="1" t="s">
        <v>13</v>
      </c>
      <c r="N5" s="1" t="s">
        <v>14</v>
      </c>
      <c r="O5" s="1" t="s">
        <v>31</v>
      </c>
      <c r="P5" s="1" t="s">
        <v>16</v>
      </c>
      <c r="Q5" s="1" t="s">
        <v>17</v>
      </c>
      <c r="R5" s="1" t="s">
        <v>18</v>
      </c>
      <c r="S5" s="1" t="s">
        <v>19</v>
      </c>
      <c r="T5" s="1" t="s">
        <v>20</v>
      </c>
      <c r="U5" s="1" t="s">
        <v>32</v>
      </c>
      <c r="V5" s="1" t="s">
        <v>22</v>
      </c>
      <c r="W5" s="1" t="s">
        <v>23</v>
      </c>
      <c r="X5" s="1" t="s">
        <v>25</v>
      </c>
      <c r="Y5" s="1" t="s">
        <v>26</v>
      </c>
    </row>
    <row r="6" spans="1:25" x14ac:dyDescent="0.3">
      <c r="A6" s="54">
        <v>44953</v>
      </c>
      <c r="B6" s="1" t="s">
        <v>80</v>
      </c>
      <c r="C6" s="10">
        <v>0.35416666666666669</v>
      </c>
      <c r="D6" s="1" t="s">
        <v>81</v>
      </c>
      <c r="E6" s="10">
        <v>0.52222222222222225</v>
      </c>
      <c r="F6" s="1" t="s">
        <v>68</v>
      </c>
      <c r="G6" s="53" t="s">
        <v>92</v>
      </c>
      <c r="H6" s="1" t="s">
        <v>27</v>
      </c>
      <c r="I6" s="1"/>
      <c r="J6" s="10"/>
      <c r="K6" s="10">
        <v>0.16805555555555557</v>
      </c>
      <c r="L6" s="1" t="s">
        <v>40</v>
      </c>
      <c r="M6" s="1">
        <v>2</v>
      </c>
      <c r="N6" s="1"/>
      <c r="O6" s="1"/>
      <c r="P6" s="1"/>
      <c r="Q6" s="10">
        <v>0.16805555555555557</v>
      </c>
      <c r="R6" s="10"/>
      <c r="S6" s="10"/>
      <c r="T6" s="10"/>
      <c r="U6" s="54">
        <v>44953</v>
      </c>
      <c r="V6" s="1"/>
      <c r="W6" s="10"/>
      <c r="X6" s="1"/>
      <c r="Y6" s="1" t="s">
        <v>37</v>
      </c>
    </row>
    <row r="7" spans="1:25" x14ac:dyDescent="0.3">
      <c r="A7" s="9">
        <v>44954</v>
      </c>
      <c r="B7" s="1" t="s">
        <v>81</v>
      </c>
      <c r="C7" s="10">
        <v>0.47430555555555554</v>
      </c>
      <c r="D7" s="1" t="s">
        <v>80</v>
      </c>
      <c r="E7" s="10">
        <v>0.68194444444444446</v>
      </c>
      <c r="F7" s="1" t="s">
        <v>55</v>
      </c>
      <c r="G7" s="1" t="s">
        <v>83</v>
      </c>
      <c r="H7" s="1" t="s">
        <v>27</v>
      </c>
      <c r="I7" s="1"/>
      <c r="J7" s="10"/>
      <c r="K7" s="10">
        <v>0.20763888888888893</v>
      </c>
      <c r="L7" s="1" t="s">
        <v>40</v>
      </c>
      <c r="M7" s="1"/>
      <c r="N7" s="1"/>
      <c r="O7" s="1"/>
      <c r="P7" s="1"/>
      <c r="Q7" s="10">
        <v>0.20763888888888893</v>
      </c>
      <c r="R7" s="10"/>
      <c r="S7" s="10"/>
      <c r="T7" s="10"/>
      <c r="U7" s="9">
        <v>44954</v>
      </c>
      <c r="V7" s="1"/>
      <c r="W7" s="10"/>
      <c r="X7" s="1"/>
      <c r="Y7" s="1" t="s">
        <v>35</v>
      </c>
    </row>
    <row r="8" spans="1:25" x14ac:dyDescent="0.3">
      <c r="A8" s="9">
        <v>44952</v>
      </c>
      <c r="B8" s="1" t="s">
        <v>80</v>
      </c>
      <c r="C8" s="10">
        <v>0.3833333333333333</v>
      </c>
      <c r="D8" s="1" t="s">
        <v>80</v>
      </c>
      <c r="E8" s="10">
        <v>0.68888888888888899</v>
      </c>
      <c r="F8" s="1" t="s">
        <v>55</v>
      </c>
      <c r="G8" s="1" t="s">
        <v>82</v>
      </c>
      <c r="H8" s="1" t="s">
        <v>27</v>
      </c>
      <c r="I8" s="1"/>
      <c r="J8" s="10"/>
      <c r="K8" s="10">
        <v>0.30555555555555569</v>
      </c>
      <c r="L8" s="1" t="s">
        <v>40</v>
      </c>
      <c r="M8" s="1"/>
      <c r="N8" s="1"/>
      <c r="O8" s="1"/>
      <c r="P8" s="1"/>
      <c r="Q8" s="10">
        <v>0.30555555555555569</v>
      </c>
      <c r="R8" s="10"/>
      <c r="S8" s="10"/>
      <c r="T8" s="10"/>
      <c r="U8" s="9">
        <v>44952</v>
      </c>
      <c r="V8" s="1"/>
      <c r="W8" s="10"/>
      <c r="X8" s="1"/>
      <c r="Y8" s="1" t="s">
        <v>35</v>
      </c>
    </row>
    <row r="9" spans="1:25" x14ac:dyDescent="0.3">
      <c r="A9" s="9">
        <v>44952</v>
      </c>
      <c r="B9" s="1" t="s">
        <v>80</v>
      </c>
      <c r="C9" s="10">
        <v>0.52083333333333337</v>
      </c>
      <c r="D9" s="1" t="s">
        <v>81</v>
      </c>
      <c r="E9" s="10">
        <v>0.59861111111111109</v>
      </c>
      <c r="F9" s="1" t="s">
        <v>65</v>
      </c>
      <c r="G9" s="1" t="s">
        <v>79</v>
      </c>
      <c r="H9" s="1" t="s">
        <v>27</v>
      </c>
      <c r="I9" s="1"/>
      <c r="J9" s="10"/>
      <c r="K9" s="10">
        <v>7.7777777777777724E-2</v>
      </c>
      <c r="L9" s="1" t="s">
        <v>40</v>
      </c>
      <c r="M9" s="1"/>
      <c r="N9" s="1"/>
      <c r="O9" s="1"/>
      <c r="P9" s="1"/>
      <c r="Q9" s="10">
        <v>7.7777777777777724E-2</v>
      </c>
      <c r="R9" s="10"/>
      <c r="S9" s="10"/>
      <c r="T9" s="10"/>
      <c r="U9" s="9">
        <v>44952</v>
      </c>
      <c r="V9" s="1"/>
      <c r="W9" s="10"/>
      <c r="X9" s="1"/>
      <c r="Y9" s="1" t="s">
        <v>35</v>
      </c>
    </row>
    <row r="10" spans="1:25" x14ac:dyDescent="0.3">
      <c r="A10" s="9"/>
      <c r="B10" s="1"/>
      <c r="C10" s="10"/>
      <c r="D10" s="1"/>
      <c r="E10" s="10"/>
      <c r="F10" s="1"/>
      <c r="G10" s="1"/>
      <c r="H10" s="1"/>
      <c r="I10" s="1"/>
      <c r="J10" s="10"/>
      <c r="K10" s="10"/>
      <c r="L10" s="1"/>
      <c r="M10" s="1"/>
      <c r="N10" s="1"/>
      <c r="O10" s="1"/>
      <c r="P10" s="1"/>
      <c r="Q10" s="10"/>
      <c r="R10" s="10"/>
      <c r="S10" s="10"/>
      <c r="T10" s="10"/>
      <c r="U10" s="9"/>
      <c r="V10" s="1"/>
      <c r="W10" s="10"/>
      <c r="X10" s="1"/>
      <c r="Y10" s="1"/>
    </row>
  </sheetData>
  <mergeCells count="9">
    <mergeCell ref="A1:XFD3"/>
    <mergeCell ref="Q4:T4"/>
    <mergeCell ref="B4:C4"/>
    <mergeCell ref="D4:E4"/>
    <mergeCell ref="F4:G4"/>
    <mergeCell ref="H4:I4"/>
    <mergeCell ref="M4:N4"/>
    <mergeCell ref="O4:P4"/>
    <mergeCell ref="U4:W4"/>
  </mergeCells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49" r:id="rId4" name="SearchBox">
          <controlPr defaultSize="0" autoLine="0" r:id="rId5">
            <anchor moveWithCells="1">
              <from>
                <xdr:col>8</xdr:col>
                <xdr:colOff>457200</xdr:colOff>
                <xdr:row>2</xdr:row>
                <xdr:rowOff>99060</xdr:rowOff>
              </from>
              <to>
                <xdr:col>10</xdr:col>
                <xdr:colOff>899160</xdr:colOff>
                <xdr:row>2</xdr:row>
                <xdr:rowOff>327660</xdr:rowOff>
              </to>
            </anchor>
          </controlPr>
        </control>
      </mc:Choice>
      <mc:Fallback>
        <control shapeId="2049" r:id="rId4" name="SearchBox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C35552-076E-4BBF-8F70-5DEAD5844601}">
  <sheetPr codeName="Sheet2"/>
  <dimension ref="A1:P16"/>
  <sheetViews>
    <sheetView zoomScaleNormal="100" workbookViewId="0">
      <selection activeCell="F27" sqref="F27"/>
    </sheetView>
  </sheetViews>
  <sheetFormatPr defaultRowHeight="14.4" x14ac:dyDescent="0.3"/>
  <cols>
    <col min="1" max="3" width="8.88671875" style="79"/>
    <col min="5" max="5" width="5.21875" customWidth="1"/>
    <col min="6" max="6" width="20.6640625" customWidth="1"/>
    <col min="7" max="7" width="18.88671875" customWidth="1"/>
    <col min="12" max="12" width="18.6640625" customWidth="1"/>
    <col min="13" max="13" width="16.77734375" customWidth="1"/>
    <col min="14" max="14" width="13.109375" customWidth="1"/>
  </cols>
  <sheetData>
    <row r="1" spans="5:16" ht="15" thickBot="1" x14ac:dyDescent="0.35">
      <c r="F1" s="40" t="s">
        <v>78</v>
      </c>
    </row>
    <row r="2" spans="5:16" ht="23.4" customHeight="1" thickBot="1" x14ac:dyDescent="0.35">
      <c r="L2" s="22"/>
      <c r="M2" s="83" t="s">
        <v>75</v>
      </c>
      <c r="N2" s="83"/>
      <c r="O2" s="83"/>
      <c r="P2" s="84"/>
    </row>
    <row r="3" spans="5:16" ht="15" thickBot="1" x14ac:dyDescent="0.35">
      <c r="E3" s="87" t="s">
        <v>214</v>
      </c>
      <c r="F3" s="87"/>
      <c r="G3" s="87"/>
      <c r="H3" s="87"/>
      <c r="I3" s="87"/>
      <c r="L3" s="26"/>
      <c r="M3" s="35" t="s">
        <v>52</v>
      </c>
      <c r="N3" s="46">
        <v>44927</v>
      </c>
      <c r="O3" s="35"/>
      <c r="P3" s="36"/>
    </row>
    <row r="4" spans="5:16" ht="15" thickBot="1" x14ac:dyDescent="0.35">
      <c r="E4" s="22"/>
      <c r="F4" s="23"/>
      <c r="G4" s="23"/>
      <c r="H4" s="24"/>
      <c r="I4" s="25"/>
      <c r="L4" s="26"/>
      <c r="M4" s="35" t="s">
        <v>53</v>
      </c>
      <c r="N4" s="47">
        <v>44951</v>
      </c>
      <c r="O4" s="35"/>
      <c r="P4" s="36"/>
    </row>
    <row r="5" spans="5:16" ht="15" thickBot="1" x14ac:dyDescent="0.35">
      <c r="E5" s="26"/>
      <c r="F5" s="37" t="s">
        <v>73</v>
      </c>
      <c r="G5" s="60">
        <v>0.75902777777777786</v>
      </c>
      <c r="H5" s="21" t="s">
        <v>41</v>
      </c>
      <c r="I5" s="30"/>
      <c r="L5" s="26"/>
      <c r="M5" s="27"/>
      <c r="N5" s="27"/>
      <c r="O5" s="27"/>
      <c r="P5" s="30"/>
    </row>
    <row r="6" spans="5:16" ht="15" thickBot="1" x14ac:dyDescent="0.35">
      <c r="E6" s="26"/>
      <c r="F6" s="37" t="s">
        <v>74</v>
      </c>
      <c r="G6" s="56">
        <v>0</v>
      </c>
      <c r="H6" s="20" t="s">
        <v>41</v>
      </c>
      <c r="I6" s="30"/>
      <c r="L6" s="26"/>
      <c r="M6" s="27"/>
      <c r="N6" s="27"/>
      <c r="O6" s="27"/>
      <c r="P6" s="30"/>
    </row>
    <row r="7" spans="5:16" ht="15" thickBot="1" x14ac:dyDescent="0.35">
      <c r="E7" s="28"/>
      <c r="F7" s="29"/>
      <c r="G7" s="32"/>
      <c r="H7" s="32"/>
      <c r="I7" s="31"/>
      <c r="L7" s="85" t="s">
        <v>72</v>
      </c>
      <c r="M7" s="86"/>
      <c r="N7" s="56">
        <v>0.59097222222222234</v>
      </c>
      <c r="O7" s="33" t="s">
        <v>41</v>
      </c>
      <c r="P7" s="30"/>
    </row>
    <row r="8" spans="5:16" ht="15" thickBot="1" x14ac:dyDescent="0.35">
      <c r="L8" s="85" t="s">
        <v>63</v>
      </c>
      <c r="M8" s="86"/>
      <c r="N8" s="57">
        <v>0</v>
      </c>
      <c r="O8" s="34" t="s">
        <v>41</v>
      </c>
      <c r="P8" s="30"/>
    </row>
    <row r="9" spans="5:16" ht="15" thickBot="1" x14ac:dyDescent="0.35">
      <c r="F9" s="38" t="s">
        <v>44</v>
      </c>
      <c r="G9" s="49" t="s">
        <v>37</v>
      </c>
      <c r="H9" s="55">
        <v>0</v>
      </c>
      <c r="I9" s="19" t="s">
        <v>41</v>
      </c>
      <c r="L9" s="39" t="s">
        <v>59</v>
      </c>
      <c r="M9" s="48" t="s">
        <v>33</v>
      </c>
      <c r="N9" s="58">
        <v>0</v>
      </c>
      <c r="O9" s="33" t="s">
        <v>41</v>
      </c>
      <c r="P9" s="30"/>
    </row>
    <row r="10" spans="5:16" ht="15" thickBot="1" x14ac:dyDescent="0.35">
      <c r="H10" s="1"/>
      <c r="L10" s="39" t="s">
        <v>60</v>
      </c>
      <c r="M10" s="48" t="s">
        <v>33</v>
      </c>
      <c r="N10" s="59">
        <v>0</v>
      </c>
      <c r="O10" s="34" t="s">
        <v>41</v>
      </c>
      <c r="P10" s="30"/>
    </row>
    <row r="11" spans="5:16" ht="15" thickBot="1" x14ac:dyDescent="0.35">
      <c r="F11" s="38" t="s">
        <v>43</v>
      </c>
      <c r="G11" s="49" t="s">
        <v>17</v>
      </c>
      <c r="H11" s="55">
        <v>0.75902777777777786</v>
      </c>
      <c r="I11" s="19" t="s">
        <v>41</v>
      </c>
      <c r="L11" s="39" t="s">
        <v>61</v>
      </c>
      <c r="M11" s="48" t="s">
        <v>33</v>
      </c>
      <c r="N11" s="58">
        <v>0</v>
      </c>
      <c r="O11" s="33" t="s">
        <v>41</v>
      </c>
      <c r="P11" s="30"/>
    </row>
    <row r="12" spans="5:16" ht="15" thickBot="1" x14ac:dyDescent="0.35">
      <c r="H12" s="1"/>
      <c r="L12" s="39" t="s">
        <v>62</v>
      </c>
      <c r="M12" s="48" t="s">
        <v>17</v>
      </c>
      <c r="N12" s="59">
        <v>0</v>
      </c>
      <c r="O12" s="34" t="s">
        <v>41</v>
      </c>
      <c r="P12" s="30"/>
    </row>
    <row r="13" spans="5:16" ht="15" thickBot="1" x14ac:dyDescent="0.35">
      <c r="F13" s="38" t="s">
        <v>45</v>
      </c>
      <c r="G13" s="49" t="s">
        <v>14</v>
      </c>
      <c r="H13" s="55">
        <v>0</v>
      </c>
      <c r="I13" s="19" t="s">
        <v>41</v>
      </c>
      <c r="L13" s="28"/>
      <c r="M13" s="32"/>
      <c r="N13" s="32"/>
      <c r="O13" s="32"/>
      <c r="P13" s="31"/>
    </row>
    <row r="14" spans="5:16" x14ac:dyDescent="0.3">
      <c r="H14" s="1"/>
    </row>
    <row r="15" spans="5:16" ht="15" thickBot="1" x14ac:dyDescent="0.35">
      <c r="H15" s="1"/>
    </row>
    <row r="16" spans="5:16" ht="15" thickBot="1" x14ac:dyDescent="0.35">
      <c r="F16" s="38" t="s">
        <v>51</v>
      </c>
      <c r="G16" s="49" t="s">
        <v>48</v>
      </c>
      <c r="H16" s="55">
        <v>0</v>
      </c>
      <c r="I16" s="19" t="s">
        <v>41</v>
      </c>
    </row>
  </sheetData>
  <sheetProtection algorithmName="SHA-512" hashValue="ZLso0MUvJ6vb6FKU/5HNh/B/veuGYejy/1/nGXdtYJTopEtQdLiV27IhIzrJztI1LkgVQoY04kzBpU4jgr7LUw==" saltValue="KKgh3McMGyqrAnrS6ywYvg==" spinCount="100000" sheet="1" objects="1" scenarios="1"/>
  <mergeCells count="5">
    <mergeCell ref="A1:C1048576"/>
    <mergeCell ref="M2:P2"/>
    <mergeCell ref="L7:M7"/>
    <mergeCell ref="L8:M8"/>
    <mergeCell ref="E3:I3"/>
  </mergeCells>
  <pageMargins left="0.7" right="0.7" top="0.75" bottom="0.75" header="0.3" footer="0.3"/>
  <pageSetup paperSize="9"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xWindow="1320" yWindow="552" count="6">
        <x14:dataValidation type="list" allowBlank="1" showInputMessage="1" showErrorMessage="1" prompt="Choose an option" xr:uid="{8EDDDB8A-6D00-4FCF-A1DB-52555B498EB7}">
          <x14:formula1>
            <xm:f>Data!$A$2:$A$7</xm:f>
          </x14:formula1>
          <xm:sqref>G9</xm:sqref>
        </x14:dataValidation>
        <x14:dataValidation type="list" allowBlank="1" showInputMessage="1" showErrorMessage="1" prompt="Choose an option" xr:uid="{4BEA70FB-738A-4C56-86F9-DE91D32F3CF2}">
          <x14:formula1>
            <xm:f>Data!$B$2:$B$6</xm:f>
          </x14:formula1>
          <xm:sqref>M12 G11</xm:sqref>
        </x14:dataValidation>
        <x14:dataValidation type="list" allowBlank="1" showInputMessage="1" showErrorMessage="1" prompt="Choose an option" xr:uid="{DC3AB3FF-C784-4C91-A984-7213C6E80AF7}">
          <x14:formula1>
            <xm:f>Data!$B$8:$B$10</xm:f>
          </x14:formula1>
          <xm:sqref>M11 G13</xm:sqref>
        </x14:dataValidation>
        <x14:dataValidation type="list" allowBlank="1" showInputMessage="1" showErrorMessage="1" prompt="Choose an option" xr:uid="{216E8D9C-D757-46E0-9AFE-B8C7106E11C2}">
          <x14:formula1>
            <xm:f>Data!$B$12:$B$15</xm:f>
          </x14:formula1>
          <xm:sqref>G16</xm:sqref>
        </x14:dataValidation>
        <x14:dataValidation type="list" allowBlank="1" showInputMessage="1" showErrorMessage="1" prompt="Choose an option" xr:uid="{9EEC59EE-0523-4594-9338-F9C1851B29DD}">
          <x14:formula1>
            <xm:f>Data!$A$17:$A$19</xm:f>
          </x14:formula1>
          <xm:sqref>M10</xm:sqref>
        </x14:dataValidation>
        <x14:dataValidation type="list" allowBlank="1" showInputMessage="1" showErrorMessage="1" prompt="Choose an option" xr:uid="{DE578CBF-E7DA-45AF-BA8B-C89EF383E7A8}">
          <x14:formula1>
            <xm:f>Data!$B$17:$B$30</xm:f>
          </x14:formula1>
          <xm:sqref>M9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30AE16-860C-47DF-8545-4F8CF0D91C65}">
  <sheetPr codeName="Sheet3"/>
  <dimension ref="A1:X30"/>
  <sheetViews>
    <sheetView topLeftCell="A10" workbookViewId="0">
      <selection activeCell="F8" sqref="F8"/>
    </sheetView>
  </sheetViews>
  <sheetFormatPr defaultRowHeight="14.4" x14ac:dyDescent="0.3"/>
  <cols>
    <col min="1" max="1" width="14.77734375" customWidth="1"/>
    <col min="2" max="2" width="17.109375" customWidth="1"/>
    <col min="3" max="3" width="8.88671875" style="17"/>
    <col min="4" max="4" width="11.33203125" style="11" bestFit="1" customWidth="1"/>
    <col min="7" max="7" width="8.88671875" style="1"/>
    <col min="11" max="11" width="8.88671875" style="17"/>
    <col min="12" max="12" width="10.5546875" bestFit="1" customWidth="1"/>
    <col min="13" max="13" width="10.5546875" style="15" bestFit="1" customWidth="1"/>
    <col min="14" max="14" width="10.5546875" bestFit="1" customWidth="1"/>
    <col min="15" max="15" width="8.88671875" style="17"/>
    <col min="16" max="16" width="8.88671875" style="12"/>
    <col min="17" max="17" width="10.5546875" style="17" bestFit="1" customWidth="1"/>
    <col min="18" max="18" width="8.88671875" style="12"/>
    <col min="19" max="19" width="10.5546875" style="17" bestFit="1" customWidth="1"/>
    <col min="20" max="20" width="8.88671875" style="12"/>
    <col min="23" max="23" width="10.5546875" style="15" bestFit="1" customWidth="1"/>
  </cols>
  <sheetData>
    <row r="1" spans="1:24" x14ac:dyDescent="0.3">
      <c r="A1" s="3" t="s">
        <v>26</v>
      </c>
      <c r="B1" s="14" t="s">
        <v>42</v>
      </c>
      <c r="C1" s="17">
        <f>Logbook!K6</f>
        <v>0.16805555555555557</v>
      </c>
      <c r="D1" s="12">
        <f>SUMPRODUCT(--C$1:C$4)</f>
        <v>0.75902777777777786</v>
      </c>
      <c r="E1" s="13">
        <v>0</v>
      </c>
      <c r="F1" s="12">
        <f>SUMPRODUCT(--E$1:E$1)</f>
        <v>0</v>
      </c>
      <c r="G1" s="15">
        <v>0.16805555555555557</v>
      </c>
      <c r="H1" s="12">
        <f>SUMPRODUCT(--G$1:G$4)</f>
        <v>0.75902777777777786</v>
      </c>
      <c r="J1" s="12">
        <f>SUMPRODUCT(--I$1:I$1)</f>
        <v>0</v>
      </c>
      <c r="K1" s="17">
        <f>Logbook!W6</f>
        <v>0</v>
      </c>
      <c r="L1" s="15">
        <f>SUMPRODUCT(--K$1:K$4)</f>
        <v>0</v>
      </c>
      <c r="N1" s="16">
        <f ca="1">TODAY()</f>
        <v>45198</v>
      </c>
      <c r="P1" s="12">
        <v>0</v>
      </c>
      <c r="R1" s="17">
        <f>SUMPRODUCT(--Q$1:Q$1)</f>
        <v>0</v>
      </c>
      <c r="T1" s="17"/>
      <c r="V1" s="17">
        <f>SUMPRODUCT(--U$1:U$1)</f>
        <v>0</v>
      </c>
      <c r="W1" s="15">
        <v>0</v>
      </c>
      <c r="X1" s="17">
        <f>SUMPRODUCT(--W$1:W$3)</f>
        <v>0</v>
      </c>
    </row>
    <row r="2" spans="1:24" x14ac:dyDescent="0.3">
      <c r="A2" s="5" t="s">
        <v>33</v>
      </c>
      <c r="B2" s="5" t="s">
        <v>33</v>
      </c>
      <c r="C2" s="17">
        <f>Logbook!K7</f>
        <v>0.20763888888888893</v>
      </c>
      <c r="E2" s="13"/>
      <c r="G2" s="15">
        <v>0.20763888888888893</v>
      </c>
      <c r="K2" s="17">
        <f>Logbook!W7</f>
        <v>0</v>
      </c>
      <c r="N2" s="16">
        <f ca="1">TODAY()-7</f>
        <v>45191</v>
      </c>
      <c r="W2" s="15">
        <v>0</v>
      </c>
    </row>
    <row r="3" spans="1:24" x14ac:dyDescent="0.3">
      <c r="A3" t="s">
        <v>35</v>
      </c>
      <c r="B3" t="s">
        <v>17</v>
      </c>
      <c r="C3" s="17">
        <f>Logbook!K8</f>
        <v>0.30555555555555569</v>
      </c>
      <c r="E3" s="13"/>
      <c r="G3" s="15">
        <v>0.30555555555555569</v>
      </c>
      <c r="K3" s="17">
        <f>Logbook!W8</f>
        <v>0</v>
      </c>
      <c r="N3" s="12">
        <f>SUMPRODUCT(--M$1:M$1)</f>
        <v>0</v>
      </c>
      <c r="W3" s="15">
        <v>0</v>
      </c>
    </row>
    <row r="4" spans="1:24" x14ac:dyDescent="0.3">
      <c r="A4" t="s">
        <v>36</v>
      </c>
      <c r="B4" t="s">
        <v>18</v>
      </c>
      <c r="C4" s="17">
        <f>Logbook!K9</f>
        <v>7.7777777777777724E-2</v>
      </c>
      <c r="E4" s="13"/>
      <c r="G4" s="18">
        <v>7.7777777777777724E-2</v>
      </c>
      <c r="K4" s="17">
        <f>Logbook!W9</f>
        <v>0</v>
      </c>
    </row>
    <row r="5" spans="1:24" x14ac:dyDescent="0.3">
      <c r="A5" t="s">
        <v>37</v>
      </c>
      <c r="B5" t="s">
        <v>19</v>
      </c>
      <c r="G5" s="15"/>
    </row>
    <row r="6" spans="1:24" x14ac:dyDescent="0.3">
      <c r="A6" t="s">
        <v>38</v>
      </c>
      <c r="B6" t="s">
        <v>20</v>
      </c>
    </row>
    <row r="7" spans="1:24" x14ac:dyDescent="0.3">
      <c r="A7" t="s">
        <v>39</v>
      </c>
      <c r="B7" s="14" t="s">
        <v>46</v>
      </c>
      <c r="G7" s="15"/>
    </row>
    <row r="8" spans="1:24" x14ac:dyDescent="0.3">
      <c r="B8" s="5" t="s">
        <v>33</v>
      </c>
      <c r="G8" s="15"/>
    </row>
    <row r="9" spans="1:24" x14ac:dyDescent="0.3">
      <c r="B9" t="s">
        <v>14</v>
      </c>
    </row>
    <row r="10" spans="1:24" x14ac:dyDescent="0.3">
      <c r="B10" t="s">
        <v>16</v>
      </c>
    </row>
    <row r="11" spans="1:24" x14ac:dyDescent="0.3">
      <c r="B11" s="14" t="s">
        <v>47</v>
      </c>
    </row>
    <row r="12" spans="1:24" x14ac:dyDescent="0.3">
      <c r="B12" s="5" t="s">
        <v>33</v>
      </c>
    </row>
    <row r="13" spans="1:24" x14ac:dyDescent="0.3">
      <c r="B13" t="s">
        <v>48</v>
      </c>
    </row>
    <row r="14" spans="1:24" x14ac:dyDescent="0.3">
      <c r="B14" t="s">
        <v>49</v>
      </c>
    </row>
    <row r="15" spans="1:24" x14ac:dyDescent="0.3">
      <c r="B15" t="s">
        <v>50</v>
      </c>
    </row>
    <row r="16" spans="1:24" x14ac:dyDescent="0.3">
      <c r="A16" s="14" t="s">
        <v>4</v>
      </c>
      <c r="B16" s="14" t="s">
        <v>57</v>
      </c>
    </row>
    <row r="17" spans="1:12" x14ac:dyDescent="0.3">
      <c r="A17" s="5" t="s">
        <v>33</v>
      </c>
      <c r="B17" s="5" t="s">
        <v>33</v>
      </c>
      <c r="L17" s="16"/>
    </row>
    <row r="18" spans="1:12" x14ac:dyDescent="0.3">
      <c r="A18" t="s">
        <v>27</v>
      </c>
      <c r="B18" t="s">
        <v>67</v>
      </c>
      <c r="L18" s="16"/>
    </row>
    <row r="19" spans="1:12" x14ac:dyDescent="0.3">
      <c r="A19" t="s">
        <v>28</v>
      </c>
      <c r="B19" t="s">
        <v>71</v>
      </c>
    </row>
    <row r="20" spans="1:12" x14ac:dyDescent="0.3">
      <c r="A20" s="14" t="s">
        <v>64</v>
      </c>
      <c r="B20" t="s">
        <v>68</v>
      </c>
    </row>
    <row r="21" spans="1:12" x14ac:dyDescent="0.3">
      <c r="A21" s="5"/>
      <c r="B21" t="s">
        <v>69</v>
      </c>
    </row>
    <row r="22" spans="1:12" x14ac:dyDescent="0.3">
      <c r="A22" t="s">
        <v>40</v>
      </c>
      <c r="B22" t="s">
        <v>77</v>
      </c>
    </row>
    <row r="23" spans="1:12" x14ac:dyDescent="0.3">
      <c r="B23" t="s">
        <v>76</v>
      </c>
    </row>
    <row r="24" spans="1:12" x14ac:dyDescent="0.3">
      <c r="B24" t="s">
        <v>65</v>
      </c>
    </row>
    <row r="25" spans="1:12" x14ac:dyDescent="0.3">
      <c r="B25" t="s">
        <v>66</v>
      </c>
    </row>
    <row r="26" spans="1:12" x14ac:dyDescent="0.3">
      <c r="B26" t="s">
        <v>58</v>
      </c>
    </row>
    <row r="27" spans="1:12" x14ac:dyDescent="0.3">
      <c r="B27" t="s">
        <v>70</v>
      </c>
    </row>
    <row r="28" spans="1:12" x14ac:dyDescent="0.3">
      <c r="B28" t="s">
        <v>54</v>
      </c>
    </row>
    <row r="29" spans="1:12" x14ac:dyDescent="0.3">
      <c r="B29" t="s">
        <v>55</v>
      </c>
    </row>
    <row r="30" spans="1:12" x14ac:dyDescent="0.3">
      <c r="B30" t="s">
        <v>56</v>
      </c>
    </row>
  </sheetData>
  <phoneticPr fontId="3" type="noConversion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D5CE4-A049-4667-BD38-E351C8FD343D}">
  <sheetPr codeName="Sheet5"/>
  <dimension ref="A1:D72"/>
  <sheetViews>
    <sheetView workbookViewId="0">
      <selection activeCell="D10" sqref="D10"/>
    </sheetView>
  </sheetViews>
  <sheetFormatPr defaultRowHeight="14.4" x14ac:dyDescent="0.3"/>
  <cols>
    <col min="1" max="1" width="21.33203125" style="1" customWidth="1"/>
    <col min="2" max="2" width="21.88671875" style="1" customWidth="1"/>
    <col min="3" max="3" width="25.44140625" style="1" customWidth="1"/>
    <col min="4" max="4" width="18.21875" style="1" customWidth="1"/>
  </cols>
  <sheetData>
    <row r="1" spans="1:4" x14ac:dyDescent="0.3">
      <c r="A1" s="88" t="s">
        <v>84</v>
      </c>
      <c r="B1" s="88"/>
      <c r="C1" s="88" t="s">
        <v>85</v>
      </c>
      <c r="D1" s="88"/>
    </row>
    <row r="2" spans="1:4" x14ac:dyDescent="0.3">
      <c r="A2" s="1" t="s">
        <v>88</v>
      </c>
      <c r="B2" s="1" t="s">
        <v>89</v>
      </c>
      <c r="C2" s="1" t="s">
        <v>86</v>
      </c>
      <c r="D2" s="1" t="s">
        <v>87</v>
      </c>
    </row>
    <row r="3" spans="1:4" x14ac:dyDescent="0.3">
      <c r="A3" s="1" t="s">
        <v>182</v>
      </c>
      <c r="B3" s="1" t="s">
        <v>80</v>
      </c>
      <c r="C3" s="1" t="s">
        <v>55</v>
      </c>
      <c r="D3" s="1" t="s">
        <v>83</v>
      </c>
    </row>
    <row r="4" spans="1:4" x14ac:dyDescent="0.3">
      <c r="A4" s="1" t="s">
        <v>94</v>
      </c>
      <c r="B4" s="1" t="s">
        <v>95</v>
      </c>
      <c r="C4" s="1" t="s">
        <v>90</v>
      </c>
      <c r="D4" s="1" t="s">
        <v>91</v>
      </c>
    </row>
    <row r="5" spans="1:4" x14ac:dyDescent="0.3">
      <c r="A5" s="1" t="s">
        <v>96</v>
      </c>
      <c r="B5" s="1" t="s">
        <v>97</v>
      </c>
      <c r="C5" s="1" t="s">
        <v>90</v>
      </c>
      <c r="D5" s="1" t="s">
        <v>92</v>
      </c>
    </row>
    <row r="6" spans="1:4" x14ac:dyDescent="0.3">
      <c r="A6" s="1" t="s">
        <v>98</v>
      </c>
      <c r="B6" s="1" t="s">
        <v>99</v>
      </c>
      <c r="C6" s="1" t="s">
        <v>65</v>
      </c>
      <c r="D6" s="1" t="s">
        <v>79</v>
      </c>
    </row>
    <row r="7" spans="1:4" x14ac:dyDescent="0.3">
      <c r="A7" s="1" t="s">
        <v>100</v>
      </c>
      <c r="B7" s="1" t="s">
        <v>102</v>
      </c>
      <c r="C7" s="1" t="s">
        <v>67</v>
      </c>
      <c r="D7" s="1" t="s">
        <v>93</v>
      </c>
    </row>
    <row r="8" spans="1:4" x14ac:dyDescent="0.3">
      <c r="A8" s="1" t="s">
        <v>103</v>
      </c>
      <c r="B8" s="1" t="s">
        <v>104</v>
      </c>
    </row>
    <row r="9" spans="1:4" x14ac:dyDescent="0.3">
      <c r="A9" s="1" t="s">
        <v>105</v>
      </c>
      <c r="B9" s="1" t="s">
        <v>106</v>
      </c>
    </row>
    <row r="10" spans="1:4" x14ac:dyDescent="0.3">
      <c r="A10" s="1" t="s">
        <v>107</v>
      </c>
      <c r="B10" s="1" t="s">
        <v>108</v>
      </c>
    </row>
    <row r="11" spans="1:4" x14ac:dyDescent="0.3">
      <c r="A11" s="1" t="s">
        <v>170</v>
      </c>
      <c r="B11" s="1" t="s">
        <v>109</v>
      </c>
    </row>
    <row r="12" spans="1:4" x14ac:dyDescent="0.3">
      <c r="A12" s="1" t="s">
        <v>171</v>
      </c>
      <c r="B12" s="1" t="s">
        <v>110</v>
      </c>
    </row>
    <row r="13" spans="1:4" x14ac:dyDescent="0.3">
      <c r="A13" s="1" t="s">
        <v>111</v>
      </c>
      <c r="B13" s="1" t="s">
        <v>112</v>
      </c>
    </row>
    <row r="14" spans="1:4" x14ac:dyDescent="0.3">
      <c r="A14" s="1" t="s">
        <v>113</v>
      </c>
      <c r="B14" s="1" t="s">
        <v>114</v>
      </c>
    </row>
    <row r="15" spans="1:4" x14ac:dyDescent="0.3">
      <c r="A15" s="1" t="s">
        <v>115</v>
      </c>
      <c r="B15" s="1" t="s">
        <v>116</v>
      </c>
    </row>
    <row r="16" spans="1:4" x14ac:dyDescent="0.3">
      <c r="A16" s="1" t="s">
        <v>117</v>
      </c>
      <c r="B16" s="1" t="s">
        <v>118</v>
      </c>
    </row>
    <row r="17" spans="1:2" x14ac:dyDescent="0.3">
      <c r="A17" s="1" t="s">
        <v>172</v>
      </c>
      <c r="B17" s="1" t="s">
        <v>119</v>
      </c>
    </row>
    <row r="18" spans="1:2" x14ac:dyDescent="0.3">
      <c r="A18" s="1" t="s">
        <v>120</v>
      </c>
      <c r="B18" s="1" t="s">
        <v>121</v>
      </c>
    </row>
    <row r="19" spans="1:2" x14ac:dyDescent="0.3">
      <c r="A19" s="1" t="s">
        <v>173</v>
      </c>
      <c r="B19" s="1" t="s">
        <v>122</v>
      </c>
    </row>
    <row r="20" spans="1:2" x14ac:dyDescent="0.3">
      <c r="A20" s="1" t="s">
        <v>174</v>
      </c>
      <c r="B20" s="1" t="s">
        <v>123</v>
      </c>
    </row>
    <row r="21" spans="1:2" x14ac:dyDescent="0.3">
      <c r="A21" s="1" t="s">
        <v>124</v>
      </c>
      <c r="B21" s="1" t="s">
        <v>125</v>
      </c>
    </row>
    <row r="22" spans="1:2" x14ac:dyDescent="0.3">
      <c r="A22" s="1" t="s">
        <v>126</v>
      </c>
      <c r="B22" s="1" t="s">
        <v>127</v>
      </c>
    </row>
    <row r="23" spans="1:2" x14ac:dyDescent="0.3">
      <c r="A23" s="1" t="s">
        <v>128</v>
      </c>
      <c r="B23" s="1" t="s">
        <v>129</v>
      </c>
    </row>
    <row r="24" spans="1:2" x14ac:dyDescent="0.3">
      <c r="A24" s="1" t="s">
        <v>130</v>
      </c>
      <c r="B24" s="1" t="s">
        <v>131</v>
      </c>
    </row>
    <row r="25" spans="1:2" x14ac:dyDescent="0.3">
      <c r="A25" s="1" t="s">
        <v>130</v>
      </c>
      <c r="B25" s="1" t="s">
        <v>132</v>
      </c>
    </row>
    <row r="26" spans="1:2" x14ac:dyDescent="0.3">
      <c r="A26" s="1" t="s">
        <v>130</v>
      </c>
      <c r="B26" s="1" t="s">
        <v>133</v>
      </c>
    </row>
    <row r="27" spans="1:2" x14ac:dyDescent="0.3">
      <c r="A27" s="1" t="s">
        <v>134</v>
      </c>
      <c r="B27" s="1" t="s">
        <v>135</v>
      </c>
    </row>
    <row r="28" spans="1:2" x14ac:dyDescent="0.3">
      <c r="A28" s="1" t="s">
        <v>136</v>
      </c>
      <c r="B28" s="1" t="s">
        <v>137</v>
      </c>
    </row>
    <row r="29" spans="1:2" x14ac:dyDescent="0.3">
      <c r="A29" s="1" t="s">
        <v>138</v>
      </c>
      <c r="B29" s="1" t="s">
        <v>139</v>
      </c>
    </row>
    <row r="30" spans="1:2" x14ac:dyDescent="0.3">
      <c r="A30" s="1" t="s">
        <v>175</v>
      </c>
      <c r="B30" s="1" t="s">
        <v>140</v>
      </c>
    </row>
    <row r="31" spans="1:2" x14ac:dyDescent="0.3">
      <c r="A31" s="1" t="s">
        <v>141</v>
      </c>
      <c r="B31" s="1" t="s">
        <v>81</v>
      </c>
    </row>
    <row r="32" spans="1:2" x14ac:dyDescent="0.3">
      <c r="A32" s="1" t="s">
        <v>142</v>
      </c>
      <c r="B32" s="1" t="s">
        <v>143</v>
      </c>
    </row>
    <row r="33" spans="1:2" x14ac:dyDescent="0.3">
      <c r="A33" s="1" t="s">
        <v>176</v>
      </c>
      <c r="B33" s="1" t="s">
        <v>144</v>
      </c>
    </row>
    <row r="34" spans="1:2" x14ac:dyDescent="0.3">
      <c r="A34" s="1" t="s">
        <v>145</v>
      </c>
      <c r="B34" s="1" t="s">
        <v>146</v>
      </c>
    </row>
    <row r="35" spans="1:2" x14ac:dyDescent="0.3">
      <c r="A35" s="1" t="s">
        <v>147</v>
      </c>
      <c r="B35" s="1" t="s">
        <v>148</v>
      </c>
    </row>
    <row r="36" spans="1:2" x14ac:dyDescent="0.3">
      <c r="A36" s="1" t="s">
        <v>149</v>
      </c>
      <c r="B36" s="1" t="s">
        <v>150</v>
      </c>
    </row>
    <row r="37" spans="1:2" x14ac:dyDescent="0.3">
      <c r="A37" s="1" t="s">
        <v>151</v>
      </c>
      <c r="B37" s="1" t="s">
        <v>152</v>
      </c>
    </row>
    <row r="38" spans="1:2" x14ac:dyDescent="0.3">
      <c r="A38" s="1" t="s">
        <v>101</v>
      </c>
      <c r="B38" s="1" t="s">
        <v>153</v>
      </c>
    </row>
    <row r="39" spans="1:2" x14ac:dyDescent="0.3">
      <c r="A39" s="1" t="s">
        <v>177</v>
      </c>
      <c r="B39" s="1" t="s">
        <v>154</v>
      </c>
    </row>
    <row r="40" spans="1:2" x14ac:dyDescent="0.3">
      <c r="A40" s="1" t="s">
        <v>155</v>
      </c>
      <c r="B40" s="1" t="s">
        <v>156</v>
      </c>
    </row>
    <row r="41" spans="1:2" x14ac:dyDescent="0.3">
      <c r="A41" s="1" t="s">
        <v>178</v>
      </c>
      <c r="B41" s="1" t="s">
        <v>157</v>
      </c>
    </row>
    <row r="42" spans="1:2" x14ac:dyDescent="0.3">
      <c r="A42" s="1" t="s">
        <v>158</v>
      </c>
      <c r="B42" s="1" t="s">
        <v>159</v>
      </c>
    </row>
    <row r="43" spans="1:2" x14ac:dyDescent="0.3">
      <c r="A43" s="1" t="s">
        <v>160</v>
      </c>
      <c r="B43" s="1" t="s">
        <v>161</v>
      </c>
    </row>
    <row r="44" spans="1:2" x14ac:dyDescent="0.3">
      <c r="A44" s="1" t="s">
        <v>179</v>
      </c>
      <c r="B44" s="1" t="s">
        <v>162</v>
      </c>
    </row>
    <row r="45" spans="1:2" x14ac:dyDescent="0.3">
      <c r="A45" s="1" t="s">
        <v>163</v>
      </c>
      <c r="B45" s="1" t="s">
        <v>164</v>
      </c>
    </row>
    <row r="46" spans="1:2" x14ac:dyDescent="0.3">
      <c r="A46" s="1" t="s">
        <v>124</v>
      </c>
      <c r="B46" s="1" t="s">
        <v>125</v>
      </c>
    </row>
    <row r="47" spans="1:2" x14ac:dyDescent="0.3">
      <c r="A47" s="1" t="s">
        <v>130</v>
      </c>
      <c r="B47" s="1" t="s">
        <v>165</v>
      </c>
    </row>
    <row r="48" spans="1:2" x14ac:dyDescent="0.3">
      <c r="A48" s="1" t="s">
        <v>180</v>
      </c>
      <c r="B48" s="1" t="s">
        <v>166</v>
      </c>
    </row>
    <row r="49" spans="1:2" x14ac:dyDescent="0.3">
      <c r="A49" s="1" t="s">
        <v>181</v>
      </c>
      <c r="B49" s="1" t="s">
        <v>167</v>
      </c>
    </row>
    <row r="50" spans="1:2" x14ac:dyDescent="0.3">
      <c r="A50" s="1" t="s">
        <v>168</v>
      </c>
      <c r="B50" s="1" t="s">
        <v>169</v>
      </c>
    </row>
    <row r="51" spans="1:2" x14ac:dyDescent="0.3">
      <c r="A51" s="1" t="s">
        <v>142</v>
      </c>
      <c r="B51" s="1" t="s">
        <v>143</v>
      </c>
    </row>
    <row r="52" spans="1:2" x14ac:dyDescent="0.3">
      <c r="A52" s="1" t="s">
        <v>147</v>
      </c>
      <c r="B52" s="1" t="s">
        <v>148</v>
      </c>
    </row>
    <row r="53" spans="1:2" x14ac:dyDescent="0.3">
      <c r="A53" s="1" t="s">
        <v>177</v>
      </c>
      <c r="B53" s="1" t="s">
        <v>154</v>
      </c>
    </row>
    <row r="54" spans="1:2" x14ac:dyDescent="0.3">
      <c r="A54" s="1" t="s">
        <v>183</v>
      </c>
      <c r="B54" s="1" t="s">
        <v>184</v>
      </c>
    </row>
    <row r="55" spans="1:2" x14ac:dyDescent="0.3">
      <c r="A55" s="1" t="s">
        <v>185</v>
      </c>
      <c r="B55" s="1" t="s">
        <v>186</v>
      </c>
    </row>
    <row r="56" spans="1:2" x14ac:dyDescent="0.3">
      <c r="A56" s="1" t="s">
        <v>185</v>
      </c>
      <c r="B56" s="1" t="s">
        <v>187</v>
      </c>
    </row>
    <row r="57" spans="1:2" x14ac:dyDescent="0.3">
      <c r="A57" s="1" t="s">
        <v>185</v>
      </c>
      <c r="B57" s="1" t="s">
        <v>188</v>
      </c>
    </row>
    <row r="58" spans="1:2" x14ac:dyDescent="0.3">
      <c r="A58" s="1" t="s">
        <v>189</v>
      </c>
      <c r="B58" s="1" t="s">
        <v>190</v>
      </c>
    </row>
    <row r="59" spans="1:2" x14ac:dyDescent="0.3">
      <c r="A59" s="1" t="s">
        <v>189</v>
      </c>
      <c r="B59" s="1" t="s">
        <v>191</v>
      </c>
    </row>
    <row r="60" spans="1:2" x14ac:dyDescent="0.3">
      <c r="A60" s="1" t="s">
        <v>192</v>
      </c>
      <c r="B60" s="1" t="s">
        <v>193</v>
      </c>
    </row>
    <row r="61" spans="1:2" x14ac:dyDescent="0.3">
      <c r="A61" s="1" t="s">
        <v>194</v>
      </c>
      <c r="B61" s="1" t="s">
        <v>195</v>
      </c>
    </row>
    <row r="62" spans="1:2" x14ac:dyDescent="0.3">
      <c r="A62" s="1" t="s">
        <v>196</v>
      </c>
      <c r="B62" s="1" t="s">
        <v>197</v>
      </c>
    </row>
    <row r="63" spans="1:2" x14ac:dyDescent="0.3">
      <c r="A63" s="1" t="s">
        <v>196</v>
      </c>
      <c r="B63" s="1" t="s">
        <v>198</v>
      </c>
    </row>
    <row r="64" spans="1:2" x14ac:dyDescent="0.3">
      <c r="A64" s="1" t="s">
        <v>199</v>
      </c>
      <c r="B64" s="1" t="s">
        <v>200</v>
      </c>
    </row>
    <row r="65" spans="1:2" x14ac:dyDescent="0.3">
      <c r="A65" s="1" t="s">
        <v>201</v>
      </c>
      <c r="B65" s="1" t="s">
        <v>202</v>
      </c>
    </row>
    <row r="66" spans="1:2" x14ac:dyDescent="0.3">
      <c r="A66" s="1" t="s">
        <v>203</v>
      </c>
      <c r="B66" s="1" t="s">
        <v>204</v>
      </c>
    </row>
    <row r="67" spans="1:2" x14ac:dyDescent="0.3">
      <c r="A67" s="1" t="s">
        <v>205</v>
      </c>
      <c r="B67" s="1" t="s">
        <v>206</v>
      </c>
    </row>
    <row r="68" spans="1:2" x14ac:dyDescent="0.3">
      <c r="A68" s="1" t="s">
        <v>205</v>
      </c>
      <c r="B68" s="1" t="s">
        <v>207</v>
      </c>
    </row>
    <row r="69" spans="1:2" x14ac:dyDescent="0.3">
      <c r="A69" s="1" t="s">
        <v>199</v>
      </c>
      <c r="B69" s="1" t="s">
        <v>208</v>
      </c>
    </row>
    <row r="70" spans="1:2" x14ac:dyDescent="0.3">
      <c r="A70" s="1" t="s">
        <v>205</v>
      </c>
      <c r="B70" s="1" t="s">
        <v>209</v>
      </c>
    </row>
    <row r="71" spans="1:2" x14ac:dyDescent="0.3">
      <c r="A71" s="1" t="s">
        <v>210</v>
      </c>
      <c r="B71" s="1" t="s">
        <v>211</v>
      </c>
    </row>
    <row r="72" spans="1:2" x14ac:dyDescent="0.3">
      <c r="A72" s="1" t="s">
        <v>212</v>
      </c>
      <c r="B72" s="1" t="s">
        <v>213</v>
      </c>
    </row>
  </sheetData>
  <mergeCells count="2">
    <mergeCell ref="A1:B1"/>
    <mergeCell ref="C1:D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Register</vt:lpstr>
      <vt:lpstr>Logbook</vt:lpstr>
      <vt:lpstr>Statistics</vt:lpstr>
      <vt:lpstr>Data</vt:lpstr>
      <vt:lpstr>DB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Ferran Colomé</cp:lastModifiedBy>
  <dcterms:created xsi:type="dcterms:W3CDTF">2023-01-21T08:22:14Z</dcterms:created>
  <dcterms:modified xsi:type="dcterms:W3CDTF">2023-09-29T14:40:33Z</dcterms:modified>
</cp:coreProperties>
</file>